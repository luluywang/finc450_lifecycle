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luwang/Downloads/visualizer/finc450_lifecycle/"/>
    </mc:Choice>
  </mc:AlternateContent>
  <xr:revisionPtr revIDLastSave="0" documentId="13_ncr:1_{97C8B6FD-8055-514A-B964-38451BF47A3F}" xr6:coauthVersionLast="47" xr6:coauthVersionMax="47" xr10:uidLastSave="{00000000-0000-0000-0000-000000000000}"/>
  <bookViews>
    <workbookView xWindow="840" yWindow="780" windowWidth="33360" windowHeight="21360" xr2:uid="{A59E8C85-A563-DA43-9E8A-B84A0E1FCCCC}"/>
  </bookViews>
  <sheets>
    <sheet name="Consultant Baseline" sheetId="12" r:id="rId1"/>
    <sheet name="Mortgage" sheetId="13" r:id="rId2"/>
    <sheet name="IBD" sheetId="14" r:id="rId3"/>
    <sheet name="Discretionary Spending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2" l="1"/>
  <c r="B33" i="6"/>
  <c r="B28" i="14"/>
  <c r="B26" i="14"/>
  <c r="B31" i="14" s="1"/>
  <c r="B25" i="14"/>
  <c r="B30" i="14" s="1"/>
  <c r="B22" i="14"/>
  <c r="M4" i="14" s="1"/>
  <c r="B21" i="14"/>
  <c r="L4" i="14" s="1"/>
  <c r="B6" i="14"/>
  <c r="H4" i="14"/>
  <c r="J4" i="14" s="1"/>
  <c r="B28" i="13"/>
  <c r="B31" i="13" s="1"/>
  <c r="B26" i="13"/>
  <c r="B25" i="13"/>
  <c r="B30" i="13" s="1"/>
  <c r="B22" i="13"/>
  <c r="B21" i="13"/>
  <c r="B6" i="13"/>
  <c r="H4" i="13"/>
  <c r="B28" i="12"/>
  <c r="B26" i="12"/>
  <c r="B31" i="12" s="1"/>
  <c r="B25" i="12"/>
  <c r="B22" i="12"/>
  <c r="B21" i="12"/>
  <c r="B6" i="12"/>
  <c r="I4" i="12"/>
  <c r="H4" i="12"/>
  <c r="B6" i="6"/>
  <c r="K4" i="14" l="1"/>
  <c r="B33" i="14"/>
  <c r="B32" i="14"/>
  <c r="I4" i="14"/>
  <c r="H5" i="14"/>
  <c r="K4" i="13"/>
  <c r="J4" i="13"/>
  <c r="H5" i="13"/>
  <c r="I4" i="13"/>
  <c r="L4" i="13"/>
  <c r="M4" i="13"/>
  <c r="M5" i="13"/>
  <c r="B32" i="13"/>
  <c r="B34" i="13" s="1"/>
  <c r="B33" i="13"/>
  <c r="L4" i="12"/>
  <c r="J4" i="12"/>
  <c r="U4" i="12" s="1"/>
  <c r="W4" i="12" s="1"/>
  <c r="K4" i="12"/>
  <c r="H5" i="12"/>
  <c r="M4" i="12"/>
  <c r="B30" i="12"/>
  <c r="U4" i="14" l="1"/>
  <c r="W4" i="14" s="1"/>
  <c r="H6" i="14"/>
  <c r="I5" i="14"/>
  <c r="L5" i="14"/>
  <c r="M5" i="14"/>
  <c r="K5" i="14"/>
  <c r="J5" i="14"/>
  <c r="B34" i="14"/>
  <c r="U4" i="13"/>
  <c r="W4" i="13" s="1"/>
  <c r="H6" i="13"/>
  <c r="J5" i="13"/>
  <c r="I5" i="13"/>
  <c r="K5" i="13"/>
  <c r="L5" i="13"/>
  <c r="L5" i="12"/>
  <c r="K5" i="12"/>
  <c r="I5" i="12"/>
  <c r="H6" i="12"/>
  <c r="J5" i="12"/>
  <c r="M5" i="12"/>
  <c r="B33" i="12"/>
  <c r="B32" i="12"/>
  <c r="K6" i="14" l="1"/>
  <c r="H7" i="14"/>
  <c r="J6" i="14"/>
  <c r="I6" i="14"/>
  <c r="M6" i="14"/>
  <c r="L6" i="14"/>
  <c r="H7" i="13"/>
  <c r="I6" i="13"/>
  <c r="J6" i="13"/>
  <c r="L6" i="13"/>
  <c r="K6" i="13"/>
  <c r="M6" i="13"/>
  <c r="J6" i="12"/>
  <c r="H7" i="12"/>
  <c r="I6" i="12"/>
  <c r="L6" i="12"/>
  <c r="M6" i="12"/>
  <c r="K6" i="12"/>
  <c r="B34" i="12"/>
  <c r="I7" i="14" l="1"/>
  <c r="L7" i="14"/>
  <c r="H8" i="14"/>
  <c r="J7" i="14"/>
  <c r="K7" i="14"/>
  <c r="M7" i="14"/>
  <c r="H8" i="13"/>
  <c r="I7" i="13"/>
  <c r="L7" i="13"/>
  <c r="K7" i="13"/>
  <c r="J7" i="13"/>
  <c r="M7" i="13"/>
  <c r="I7" i="12"/>
  <c r="K7" i="12"/>
  <c r="J7" i="12"/>
  <c r="H8" i="12"/>
  <c r="M7" i="12"/>
  <c r="L7" i="12"/>
  <c r="L8" i="14" l="1"/>
  <c r="J8" i="14"/>
  <c r="I8" i="14"/>
  <c r="H9" i="14"/>
  <c r="K8" i="14"/>
  <c r="M8" i="14"/>
  <c r="L8" i="13"/>
  <c r="K8" i="13"/>
  <c r="J8" i="13"/>
  <c r="H9" i="13"/>
  <c r="I8" i="13"/>
  <c r="M8" i="13"/>
  <c r="J8" i="12"/>
  <c r="H9" i="12"/>
  <c r="L8" i="12"/>
  <c r="K8" i="12"/>
  <c r="I8" i="12"/>
  <c r="M8" i="12"/>
  <c r="L9" i="14" l="1"/>
  <c r="K9" i="14"/>
  <c r="J9" i="14"/>
  <c r="I9" i="14"/>
  <c r="H10" i="14"/>
  <c r="M9" i="14"/>
  <c r="L9" i="13"/>
  <c r="K9" i="13"/>
  <c r="H10" i="13"/>
  <c r="I9" i="13"/>
  <c r="J9" i="13"/>
  <c r="M9" i="13"/>
  <c r="H10" i="12"/>
  <c r="I9" i="12"/>
  <c r="K9" i="12"/>
  <c r="J9" i="12"/>
  <c r="L9" i="12"/>
  <c r="M9" i="12"/>
  <c r="K10" i="14" l="1"/>
  <c r="J10" i="14"/>
  <c r="H11" i="14"/>
  <c r="I10" i="14"/>
  <c r="L10" i="14"/>
  <c r="M10" i="14"/>
  <c r="L10" i="13"/>
  <c r="H11" i="13"/>
  <c r="K10" i="13"/>
  <c r="J10" i="13"/>
  <c r="I10" i="13"/>
  <c r="M10" i="13"/>
  <c r="H11" i="12"/>
  <c r="J10" i="12"/>
  <c r="I10" i="12"/>
  <c r="L10" i="12"/>
  <c r="K10" i="12"/>
  <c r="M10" i="12"/>
  <c r="J11" i="14" l="1"/>
  <c r="H12" i="14"/>
  <c r="I11" i="14"/>
  <c r="K11" i="14"/>
  <c r="M11" i="14"/>
  <c r="L11" i="14"/>
  <c r="K11" i="13"/>
  <c r="J11" i="13"/>
  <c r="H12" i="13"/>
  <c r="I11" i="13"/>
  <c r="L11" i="13"/>
  <c r="M11" i="13"/>
  <c r="I11" i="12"/>
  <c r="H12" i="12"/>
  <c r="K11" i="12"/>
  <c r="J11" i="12"/>
  <c r="L11" i="12"/>
  <c r="M11" i="12"/>
  <c r="H13" i="14" l="1"/>
  <c r="I12" i="14"/>
  <c r="J12" i="14"/>
  <c r="L12" i="14"/>
  <c r="M12" i="14"/>
  <c r="K12" i="14"/>
  <c r="J12" i="13"/>
  <c r="H13" i="13"/>
  <c r="I12" i="13"/>
  <c r="K12" i="13"/>
  <c r="L12" i="13"/>
  <c r="M12" i="13"/>
  <c r="L12" i="12"/>
  <c r="J12" i="12"/>
  <c r="I12" i="12"/>
  <c r="H13" i="12"/>
  <c r="K12" i="12"/>
  <c r="M12" i="12"/>
  <c r="H14" i="14" l="1"/>
  <c r="I13" i="14"/>
  <c r="J13" i="14"/>
  <c r="L13" i="14"/>
  <c r="K13" i="14"/>
  <c r="M13" i="14"/>
  <c r="H14" i="13"/>
  <c r="I13" i="13"/>
  <c r="J13" i="13"/>
  <c r="L13" i="13"/>
  <c r="K13" i="13"/>
  <c r="M13" i="13"/>
  <c r="L13" i="12"/>
  <c r="K13" i="12"/>
  <c r="J13" i="12"/>
  <c r="I13" i="12"/>
  <c r="H14" i="12"/>
  <c r="M13" i="12"/>
  <c r="I14" i="14" l="1"/>
  <c r="L14" i="14"/>
  <c r="K14" i="14"/>
  <c r="H15" i="14"/>
  <c r="J14" i="14"/>
  <c r="M14" i="14"/>
  <c r="H15" i="13"/>
  <c r="I14" i="13"/>
  <c r="L14" i="13"/>
  <c r="J14" i="13"/>
  <c r="K14" i="13"/>
  <c r="M14" i="13"/>
  <c r="L14" i="12"/>
  <c r="K14" i="12"/>
  <c r="J14" i="12"/>
  <c r="H15" i="12"/>
  <c r="I14" i="12"/>
  <c r="M14" i="12"/>
  <c r="L15" i="14" l="1"/>
  <c r="I15" i="14"/>
  <c r="H16" i="14"/>
  <c r="K15" i="14"/>
  <c r="J15" i="14"/>
  <c r="M15" i="14"/>
  <c r="H16" i="13"/>
  <c r="L15" i="13"/>
  <c r="I15" i="13"/>
  <c r="J15" i="13"/>
  <c r="K15" i="13"/>
  <c r="M15" i="13"/>
  <c r="K15" i="12"/>
  <c r="J15" i="12"/>
  <c r="H16" i="12"/>
  <c r="I15" i="12"/>
  <c r="L15" i="12"/>
  <c r="M15" i="12"/>
  <c r="L16" i="14" l="1"/>
  <c r="K16" i="14"/>
  <c r="J16" i="14"/>
  <c r="H17" i="14"/>
  <c r="I16" i="14"/>
  <c r="M16" i="14"/>
  <c r="I16" i="13"/>
  <c r="J16" i="13"/>
  <c r="K16" i="13"/>
  <c r="H17" i="13"/>
  <c r="L16" i="13"/>
  <c r="M16" i="13"/>
  <c r="J16" i="12"/>
  <c r="H17" i="12"/>
  <c r="I16" i="12"/>
  <c r="K16" i="12"/>
  <c r="L16" i="12"/>
  <c r="M16" i="12"/>
  <c r="L17" i="14" l="1"/>
  <c r="K17" i="14"/>
  <c r="J17" i="14"/>
  <c r="H18" i="14"/>
  <c r="I17" i="14"/>
  <c r="M17" i="14"/>
  <c r="L17" i="13"/>
  <c r="H18" i="13"/>
  <c r="K17" i="13"/>
  <c r="I17" i="13"/>
  <c r="J17" i="13"/>
  <c r="M17" i="13"/>
  <c r="H18" i="12"/>
  <c r="I17" i="12"/>
  <c r="J17" i="12"/>
  <c r="L17" i="12"/>
  <c r="K17" i="12"/>
  <c r="M17" i="12"/>
  <c r="K18" i="14" l="1"/>
  <c r="J18" i="14"/>
  <c r="H19" i="14"/>
  <c r="I18" i="14"/>
  <c r="L18" i="14"/>
  <c r="M18" i="14"/>
  <c r="H19" i="13"/>
  <c r="K18" i="13"/>
  <c r="J18" i="13"/>
  <c r="I18" i="13"/>
  <c r="M18" i="13"/>
  <c r="L18" i="13"/>
  <c r="H19" i="12"/>
  <c r="I18" i="12"/>
  <c r="K18" i="12"/>
  <c r="J18" i="12"/>
  <c r="L18" i="12"/>
  <c r="M18" i="12"/>
  <c r="J19" i="14" l="1"/>
  <c r="H20" i="14"/>
  <c r="I19" i="14"/>
  <c r="K19" i="14"/>
  <c r="M19" i="14"/>
  <c r="L19" i="14"/>
  <c r="K19" i="13"/>
  <c r="J19" i="13"/>
  <c r="H20" i="13"/>
  <c r="I19" i="13"/>
  <c r="L19" i="13"/>
  <c r="M19" i="13"/>
  <c r="L19" i="12"/>
  <c r="J19" i="12"/>
  <c r="H20" i="12"/>
  <c r="I19" i="12"/>
  <c r="K19" i="12"/>
  <c r="M19" i="12"/>
  <c r="I20" i="14" l="1"/>
  <c r="H21" i="14"/>
  <c r="J20" i="14"/>
  <c r="L20" i="14"/>
  <c r="K20" i="14"/>
  <c r="M20" i="14"/>
  <c r="H21" i="13"/>
  <c r="J20" i="13"/>
  <c r="I20" i="13"/>
  <c r="L20" i="13"/>
  <c r="K20" i="13"/>
  <c r="M20" i="13"/>
  <c r="H21" i="12"/>
  <c r="L20" i="12"/>
  <c r="K20" i="12"/>
  <c r="I20" i="12"/>
  <c r="J20" i="12"/>
  <c r="M20" i="12"/>
  <c r="I21" i="14" l="1"/>
  <c r="L21" i="14"/>
  <c r="K21" i="14"/>
  <c r="H22" i="14"/>
  <c r="J21" i="14"/>
  <c r="M21" i="14"/>
  <c r="L21" i="13"/>
  <c r="K21" i="13"/>
  <c r="J21" i="13"/>
  <c r="I21" i="13"/>
  <c r="H22" i="13"/>
  <c r="M21" i="13"/>
  <c r="H22" i="12"/>
  <c r="L21" i="12"/>
  <c r="J21" i="12"/>
  <c r="I21" i="12"/>
  <c r="K21" i="12"/>
  <c r="M21" i="12"/>
  <c r="L22" i="14" l="1"/>
  <c r="K22" i="14"/>
  <c r="J22" i="14"/>
  <c r="H23" i="14"/>
  <c r="I22" i="14"/>
  <c r="M22" i="14"/>
  <c r="H23" i="13"/>
  <c r="K22" i="13"/>
  <c r="I22" i="13"/>
  <c r="J22" i="13"/>
  <c r="M22" i="13"/>
  <c r="L22" i="13"/>
  <c r="K22" i="12"/>
  <c r="H23" i="12"/>
  <c r="J22" i="12"/>
  <c r="I22" i="12"/>
  <c r="L22" i="12"/>
  <c r="M22" i="12"/>
  <c r="K23" i="14" l="1"/>
  <c r="J23" i="14"/>
  <c r="H24" i="14"/>
  <c r="I23" i="14"/>
  <c r="M23" i="14"/>
  <c r="L23" i="14"/>
  <c r="K23" i="13"/>
  <c r="H24" i="13"/>
  <c r="I23" i="13"/>
  <c r="J23" i="13"/>
  <c r="L23" i="13"/>
  <c r="M23" i="13"/>
  <c r="J23" i="12"/>
  <c r="H24" i="12"/>
  <c r="K23" i="12"/>
  <c r="I23" i="12"/>
  <c r="M23" i="12"/>
  <c r="L23" i="12"/>
  <c r="K24" i="14" l="1"/>
  <c r="H25" i="14"/>
  <c r="J24" i="14"/>
  <c r="I24" i="14"/>
  <c r="M24" i="14"/>
  <c r="L24" i="14"/>
  <c r="K24" i="13"/>
  <c r="H25" i="13"/>
  <c r="J24" i="13"/>
  <c r="I24" i="13"/>
  <c r="M24" i="13"/>
  <c r="L24" i="13"/>
  <c r="H25" i="12"/>
  <c r="J24" i="12"/>
  <c r="I24" i="12"/>
  <c r="K24" i="12"/>
  <c r="M24" i="12"/>
  <c r="L24" i="12"/>
  <c r="I25" i="14" l="1"/>
  <c r="H26" i="14"/>
  <c r="J25" i="14"/>
  <c r="L25" i="14"/>
  <c r="K25" i="14"/>
  <c r="M25" i="14"/>
  <c r="H26" i="13"/>
  <c r="J25" i="13"/>
  <c r="I25" i="13"/>
  <c r="K25" i="13"/>
  <c r="L25" i="13"/>
  <c r="M25" i="13"/>
  <c r="H26" i="12"/>
  <c r="J25" i="12"/>
  <c r="K25" i="12"/>
  <c r="I25" i="12"/>
  <c r="L25" i="12"/>
  <c r="M25" i="12"/>
  <c r="J26" i="14" l="1"/>
  <c r="H27" i="14"/>
  <c r="K26" i="14"/>
  <c r="I26" i="14"/>
  <c r="M26" i="14"/>
  <c r="L26" i="14"/>
  <c r="H27" i="13"/>
  <c r="I26" i="13"/>
  <c r="K26" i="13"/>
  <c r="L26" i="13"/>
  <c r="J26" i="13"/>
  <c r="M26" i="13"/>
  <c r="K26" i="12"/>
  <c r="H27" i="12"/>
  <c r="J26" i="12"/>
  <c r="I26" i="12"/>
  <c r="M26" i="12"/>
  <c r="L26" i="12"/>
  <c r="H28" i="14" l="1"/>
  <c r="I27" i="14"/>
  <c r="J27" i="14"/>
  <c r="K27" i="14"/>
  <c r="M27" i="14"/>
  <c r="L27" i="14"/>
  <c r="L27" i="13"/>
  <c r="H28" i="13"/>
  <c r="K27" i="13"/>
  <c r="J27" i="13"/>
  <c r="I27" i="13"/>
  <c r="M27" i="13"/>
  <c r="K27" i="12"/>
  <c r="H28" i="12"/>
  <c r="J27" i="12"/>
  <c r="I27" i="12"/>
  <c r="M27" i="12"/>
  <c r="L27" i="12"/>
  <c r="H29" i="14" l="1"/>
  <c r="K28" i="14"/>
  <c r="J28" i="14"/>
  <c r="I28" i="14"/>
  <c r="M28" i="14"/>
  <c r="L28" i="14"/>
  <c r="H29" i="13"/>
  <c r="K28" i="13"/>
  <c r="J28" i="13"/>
  <c r="I28" i="13"/>
  <c r="M28" i="13"/>
  <c r="L28" i="13"/>
  <c r="K28" i="12"/>
  <c r="J28" i="12"/>
  <c r="H29" i="12"/>
  <c r="I28" i="12"/>
  <c r="L28" i="12"/>
  <c r="M28" i="12"/>
  <c r="I29" i="14" l="1"/>
  <c r="J29" i="14"/>
  <c r="L29" i="14"/>
  <c r="H30" i="14"/>
  <c r="K29" i="14"/>
  <c r="M29" i="14"/>
  <c r="J29" i="13"/>
  <c r="I29" i="13"/>
  <c r="K29" i="13"/>
  <c r="H30" i="13"/>
  <c r="L29" i="13"/>
  <c r="M29" i="13"/>
  <c r="H30" i="12"/>
  <c r="J29" i="12"/>
  <c r="I29" i="12"/>
  <c r="K29" i="12"/>
  <c r="L29" i="12"/>
  <c r="M29" i="12"/>
  <c r="K30" i="14" l="1"/>
  <c r="H31" i="14"/>
  <c r="J30" i="14"/>
  <c r="I30" i="14"/>
  <c r="L30" i="14"/>
  <c r="M30" i="14"/>
  <c r="K30" i="13"/>
  <c r="H31" i="13"/>
  <c r="L30" i="13"/>
  <c r="J30" i="13"/>
  <c r="I30" i="13"/>
  <c r="M30" i="13"/>
  <c r="H31" i="12"/>
  <c r="J30" i="12"/>
  <c r="K30" i="12"/>
  <c r="I30" i="12"/>
  <c r="L30" i="12"/>
  <c r="M30" i="12"/>
  <c r="K31" i="14" l="1"/>
  <c r="J31" i="14"/>
  <c r="I31" i="14"/>
  <c r="H32" i="14"/>
  <c r="M31" i="14"/>
  <c r="L31" i="14"/>
  <c r="I31" i="13"/>
  <c r="K31" i="13"/>
  <c r="H32" i="13"/>
  <c r="J31" i="13"/>
  <c r="L31" i="13"/>
  <c r="M31" i="13"/>
  <c r="K31" i="12"/>
  <c r="H32" i="12"/>
  <c r="J31" i="12"/>
  <c r="I31" i="12"/>
  <c r="L31" i="12"/>
  <c r="M31" i="12"/>
  <c r="I32" i="14" l="1"/>
  <c r="H33" i="14"/>
  <c r="J32" i="14"/>
  <c r="L32" i="14"/>
  <c r="K32" i="14"/>
  <c r="M32" i="14"/>
  <c r="K32" i="13"/>
  <c r="I32" i="13"/>
  <c r="H33" i="13"/>
  <c r="J32" i="13"/>
  <c r="L32" i="13"/>
  <c r="M32" i="13"/>
  <c r="K32" i="12"/>
  <c r="H33" i="12"/>
  <c r="J32" i="12"/>
  <c r="I32" i="12"/>
  <c r="M32" i="12"/>
  <c r="L32" i="12"/>
  <c r="K33" i="14" l="1"/>
  <c r="H34" i="14"/>
  <c r="J33" i="14"/>
  <c r="I33" i="14"/>
  <c r="L33" i="14"/>
  <c r="M33" i="14"/>
  <c r="K33" i="13"/>
  <c r="H34" i="13"/>
  <c r="J33" i="13"/>
  <c r="I33" i="13"/>
  <c r="L33" i="13"/>
  <c r="M33" i="13"/>
  <c r="H34" i="12"/>
  <c r="J33" i="12"/>
  <c r="I33" i="12"/>
  <c r="K33" i="12"/>
  <c r="L33" i="12"/>
  <c r="M33" i="12"/>
  <c r="K34" i="14" l="1"/>
  <c r="H35" i="14"/>
  <c r="I34" i="14"/>
  <c r="L34" i="14"/>
  <c r="J34" i="14"/>
  <c r="M34" i="14"/>
  <c r="I34" i="13"/>
  <c r="H35" i="13"/>
  <c r="K34" i="13"/>
  <c r="L34" i="13"/>
  <c r="J34" i="13"/>
  <c r="M34" i="13"/>
  <c r="J34" i="12"/>
  <c r="K34" i="12"/>
  <c r="I34" i="12"/>
  <c r="H35" i="12"/>
  <c r="L34" i="12"/>
  <c r="M34" i="12"/>
  <c r="J35" i="14" l="1"/>
  <c r="H36" i="14"/>
  <c r="K35" i="14"/>
  <c r="I35" i="14"/>
  <c r="L35" i="14"/>
  <c r="M35" i="14"/>
  <c r="K35" i="13"/>
  <c r="J35" i="13"/>
  <c r="I35" i="13"/>
  <c r="H36" i="13"/>
  <c r="L35" i="13"/>
  <c r="M35" i="13"/>
  <c r="H36" i="12"/>
  <c r="I35" i="12"/>
  <c r="J35" i="12"/>
  <c r="K35" i="12"/>
  <c r="L35" i="12"/>
  <c r="M35" i="12"/>
  <c r="H37" i="14" l="1"/>
  <c r="K36" i="14"/>
  <c r="I36" i="14"/>
  <c r="J36" i="14"/>
  <c r="L36" i="14"/>
  <c r="M36" i="14"/>
  <c r="K36" i="13"/>
  <c r="J36" i="13"/>
  <c r="H37" i="13"/>
  <c r="I36" i="13"/>
  <c r="M36" i="13"/>
  <c r="L36" i="13"/>
  <c r="K36" i="12"/>
  <c r="J36" i="12"/>
  <c r="I36" i="12"/>
  <c r="H37" i="12"/>
  <c r="L36" i="12"/>
  <c r="M36" i="12"/>
  <c r="J37" i="14" l="1"/>
  <c r="I37" i="14"/>
  <c r="H38" i="14"/>
  <c r="K37" i="14"/>
  <c r="M37" i="14"/>
  <c r="L37" i="14"/>
  <c r="K37" i="13"/>
  <c r="J37" i="13"/>
  <c r="H38" i="13"/>
  <c r="I37" i="13"/>
  <c r="L37" i="13"/>
  <c r="M37" i="13"/>
  <c r="K37" i="12"/>
  <c r="J37" i="12"/>
  <c r="H38" i="12"/>
  <c r="I37" i="12"/>
  <c r="L37" i="12"/>
  <c r="M37" i="12"/>
  <c r="H39" i="14" l="1"/>
  <c r="K38" i="14"/>
  <c r="J38" i="14"/>
  <c r="I38" i="14"/>
  <c r="M38" i="14"/>
  <c r="L38" i="14"/>
  <c r="J38" i="13"/>
  <c r="H39" i="13"/>
  <c r="I38" i="13"/>
  <c r="K38" i="13"/>
  <c r="M38" i="13"/>
  <c r="L38" i="13"/>
  <c r="K38" i="12"/>
  <c r="J38" i="12"/>
  <c r="H39" i="12"/>
  <c r="I38" i="12"/>
  <c r="M38" i="12"/>
  <c r="L38" i="12"/>
  <c r="K39" i="14" l="1"/>
  <c r="J39" i="14"/>
  <c r="H40" i="14"/>
  <c r="Q39" i="14" a="1"/>
  <c r="Q39" i="14" s="1"/>
  <c r="I39" i="14"/>
  <c r="L39" i="14"/>
  <c r="M39" i="14"/>
  <c r="H40" i="13"/>
  <c r="Q39" i="13" a="1"/>
  <c r="Q39" i="13" s="1"/>
  <c r="I39" i="13"/>
  <c r="K39" i="13"/>
  <c r="J39" i="13"/>
  <c r="M39" i="13"/>
  <c r="L39" i="13"/>
  <c r="K39" i="12"/>
  <c r="J39" i="12"/>
  <c r="H40" i="12"/>
  <c r="Q39" i="12" a="1"/>
  <c r="Q39" i="12" s="1"/>
  <c r="I39" i="12"/>
  <c r="L39" i="12"/>
  <c r="M39" i="12"/>
  <c r="J40" i="14" l="1"/>
  <c r="H41" i="14"/>
  <c r="Q40" i="14" a="1"/>
  <c r="Q40" i="14" s="1"/>
  <c r="I40" i="14"/>
  <c r="K40" i="14"/>
  <c r="M40" i="14"/>
  <c r="L40" i="14"/>
  <c r="K40" i="13"/>
  <c r="J40" i="13"/>
  <c r="Q40" i="13" a="1"/>
  <c r="Q40" i="13" s="1"/>
  <c r="H41" i="13"/>
  <c r="I40" i="13"/>
  <c r="L40" i="13"/>
  <c r="M40" i="13"/>
  <c r="J40" i="12"/>
  <c r="H41" i="12"/>
  <c r="Q40" i="12" a="1"/>
  <c r="Q40" i="12" s="1"/>
  <c r="I40" i="12"/>
  <c r="K40" i="12"/>
  <c r="M40" i="12"/>
  <c r="L40" i="12"/>
  <c r="Q41" i="14" l="1" a="1"/>
  <c r="Q41" i="14" s="1"/>
  <c r="I41" i="14"/>
  <c r="K41" i="14"/>
  <c r="H42" i="14"/>
  <c r="J41" i="14"/>
  <c r="M41" i="14"/>
  <c r="L41" i="14"/>
  <c r="H42" i="13"/>
  <c r="J41" i="13"/>
  <c r="K41" i="13"/>
  <c r="I41" i="13"/>
  <c r="Q41" i="13" a="1"/>
  <c r="Q41" i="13" s="1"/>
  <c r="M41" i="13"/>
  <c r="L41" i="13"/>
  <c r="I41" i="12"/>
  <c r="Q41" i="12" a="1"/>
  <c r="Q41" i="12" s="1"/>
  <c r="K41" i="12"/>
  <c r="J41" i="12"/>
  <c r="H42" i="12"/>
  <c r="M41" i="12"/>
  <c r="L41" i="12"/>
  <c r="J42" i="14" l="1"/>
  <c r="H43" i="14"/>
  <c r="K42" i="14"/>
  <c r="Q42" i="14" a="1"/>
  <c r="Q42" i="14" s="1"/>
  <c r="I42" i="14"/>
  <c r="M42" i="14"/>
  <c r="L42" i="14"/>
  <c r="K42" i="13"/>
  <c r="J42" i="13"/>
  <c r="I42" i="13"/>
  <c r="H43" i="13"/>
  <c r="Q42" i="13" a="1"/>
  <c r="Q42" i="13" s="1"/>
  <c r="L42" i="13"/>
  <c r="M42" i="13"/>
  <c r="K42" i="12"/>
  <c r="J42" i="12"/>
  <c r="Q42" i="12" a="1"/>
  <c r="Q42" i="12" s="1"/>
  <c r="H43" i="12"/>
  <c r="I42" i="12"/>
  <c r="M42" i="12"/>
  <c r="L42" i="12"/>
  <c r="H44" i="14" l="1"/>
  <c r="Q43" i="14" a="1"/>
  <c r="Q43" i="14" s="1"/>
  <c r="I43" i="14"/>
  <c r="K43" i="14"/>
  <c r="J43" i="14"/>
  <c r="M43" i="14"/>
  <c r="L43" i="14"/>
  <c r="K43" i="13"/>
  <c r="J43" i="13"/>
  <c r="H44" i="13"/>
  <c r="Q43" i="13" a="1"/>
  <c r="Q43" i="13" s="1"/>
  <c r="I43" i="13"/>
  <c r="M43" i="13"/>
  <c r="L43" i="13"/>
  <c r="K43" i="12"/>
  <c r="J43" i="12"/>
  <c r="H44" i="12"/>
  <c r="Q43" i="12" a="1"/>
  <c r="Q43" i="12" s="1"/>
  <c r="I43" i="12"/>
  <c r="M43" i="12"/>
  <c r="L43" i="12"/>
  <c r="J44" i="14" l="1"/>
  <c r="H45" i="14"/>
  <c r="Q44" i="14" a="1"/>
  <c r="Q44" i="14" s="1"/>
  <c r="K44" i="14"/>
  <c r="I44" i="14"/>
  <c r="M44" i="14"/>
  <c r="L44" i="14"/>
  <c r="J44" i="13"/>
  <c r="H45" i="13"/>
  <c r="Q44" i="13" a="1"/>
  <c r="Q44" i="13" s="1"/>
  <c r="I44" i="13"/>
  <c r="K44" i="13"/>
  <c r="M44" i="13"/>
  <c r="L44" i="13"/>
  <c r="J44" i="12"/>
  <c r="H45" i="12"/>
  <c r="Q44" i="12" a="1"/>
  <c r="Q44" i="12" s="1"/>
  <c r="I44" i="12"/>
  <c r="K44" i="12"/>
  <c r="M44" i="12"/>
  <c r="L44" i="12"/>
  <c r="H46" i="14" l="1"/>
  <c r="Q45" i="14" a="1"/>
  <c r="Q45" i="14" s="1"/>
  <c r="I45" i="14"/>
  <c r="J45" i="14"/>
  <c r="K45" i="14"/>
  <c r="M45" i="14"/>
  <c r="L45" i="14"/>
  <c r="H46" i="13"/>
  <c r="Q45" i="13" a="1"/>
  <c r="Q45" i="13" s="1"/>
  <c r="I45" i="13"/>
  <c r="K45" i="13"/>
  <c r="J45" i="13"/>
  <c r="M45" i="13"/>
  <c r="L45" i="13"/>
  <c r="H46" i="12"/>
  <c r="Q45" i="12" a="1"/>
  <c r="Q45" i="12" s="1"/>
  <c r="I45" i="12"/>
  <c r="K45" i="12"/>
  <c r="J45" i="12"/>
  <c r="L45" i="12"/>
  <c r="M45" i="12"/>
  <c r="B28" i="6"/>
  <c r="B26" i="6"/>
  <c r="B31" i="6" s="1"/>
  <c r="B25" i="6"/>
  <c r="B30" i="6" s="1"/>
  <c r="B22" i="6"/>
  <c r="B21" i="6"/>
  <c r="H4" i="6"/>
  <c r="K46" i="14" l="1"/>
  <c r="J46" i="14"/>
  <c r="H47" i="14"/>
  <c r="I46" i="14"/>
  <c r="Q46" i="14" a="1"/>
  <c r="Q46" i="14" s="1"/>
  <c r="M46" i="14"/>
  <c r="L46" i="14"/>
  <c r="K46" i="13"/>
  <c r="J46" i="13"/>
  <c r="H47" i="13"/>
  <c r="Q46" i="13" a="1"/>
  <c r="Q46" i="13" s="1"/>
  <c r="I46" i="13"/>
  <c r="L46" i="13"/>
  <c r="M46" i="13"/>
  <c r="J46" i="12"/>
  <c r="K46" i="12"/>
  <c r="H47" i="12"/>
  <c r="I46" i="12"/>
  <c r="Q46" i="12" a="1"/>
  <c r="Q46" i="12" s="1"/>
  <c r="M46" i="12"/>
  <c r="L46" i="12"/>
  <c r="M4" i="6"/>
  <c r="I4" i="6"/>
  <c r="K4" i="6"/>
  <c r="J4" i="6"/>
  <c r="L4" i="6"/>
  <c r="H5" i="6"/>
  <c r="B32" i="6"/>
  <c r="K47" i="14" l="1"/>
  <c r="J47" i="14"/>
  <c r="H48" i="14"/>
  <c r="I47" i="14"/>
  <c r="Q47" i="14" a="1"/>
  <c r="Q47" i="14" s="1"/>
  <c r="M47" i="14"/>
  <c r="L47" i="14"/>
  <c r="K47" i="13"/>
  <c r="H48" i="13"/>
  <c r="J47" i="13"/>
  <c r="I47" i="13"/>
  <c r="Q47" i="13" a="1"/>
  <c r="Q47" i="13" s="1"/>
  <c r="M47" i="13"/>
  <c r="L47" i="13"/>
  <c r="H48" i="12"/>
  <c r="Q47" i="12" a="1"/>
  <c r="Q47" i="12" s="1"/>
  <c r="I47" i="12"/>
  <c r="K47" i="12"/>
  <c r="J47" i="12"/>
  <c r="L47" i="12"/>
  <c r="M47" i="12"/>
  <c r="K5" i="6"/>
  <c r="J5" i="6"/>
  <c r="I5" i="6"/>
  <c r="U4" i="6"/>
  <c r="W4" i="6" s="1"/>
  <c r="L5" i="6"/>
  <c r="M5" i="6"/>
  <c r="H6" i="6"/>
  <c r="B34" i="6"/>
  <c r="K48" i="14" l="1"/>
  <c r="J48" i="14"/>
  <c r="H49" i="14"/>
  <c r="I48" i="14"/>
  <c r="Q48" i="14" a="1"/>
  <c r="Q48" i="14" s="1"/>
  <c r="L48" i="14"/>
  <c r="M48" i="14"/>
  <c r="Q48" i="13" a="1"/>
  <c r="Q48" i="13" s="1"/>
  <c r="I48" i="13"/>
  <c r="K48" i="13"/>
  <c r="J48" i="13"/>
  <c r="H49" i="13"/>
  <c r="M48" i="13"/>
  <c r="L48" i="13"/>
  <c r="K48" i="12"/>
  <c r="J48" i="12"/>
  <c r="H49" i="12"/>
  <c r="I48" i="12"/>
  <c r="Q48" i="12" a="1"/>
  <c r="Q48" i="12" s="1"/>
  <c r="L48" i="12"/>
  <c r="M48" i="12"/>
  <c r="I6" i="6"/>
  <c r="K6" i="6"/>
  <c r="J6" i="6"/>
  <c r="L6" i="6"/>
  <c r="M6" i="6"/>
  <c r="H7" i="6"/>
  <c r="K49" i="14" l="1"/>
  <c r="J49" i="14"/>
  <c r="H50" i="14"/>
  <c r="I49" i="14"/>
  <c r="Q49" i="14" a="1"/>
  <c r="Q49" i="14" s="1"/>
  <c r="M49" i="14"/>
  <c r="L49" i="14"/>
  <c r="K49" i="13"/>
  <c r="Q49" i="13" a="1"/>
  <c r="Q49" i="13" s="1"/>
  <c r="J49" i="13"/>
  <c r="H50" i="13"/>
  <c r="I49" i="13"/>
  <c r="M49" i="13"/>
  <c r="L49" i="13"/>
  <c r="K49" i="12"/>
  <c r="J49" i="12"/>
  <c r="H50" i="12"/>
  <c r="I49" i="12"/>
  <c r="Q49" i="12" a="1"/>
  <c r="Q49" i="12" s="1"/>
  <c r="L49" i="12"/>
  <c r="M49" i="12"/>
  <c r="J7" i="6"/>
  <c r="K7" i="6"/>
  <c r="I7" i="6"/>
  <c r="L7" i="6"/>
  <c r="M7" i="6"/>
  <c r="H8" i="6"/>
  <c r="K50" i="14" l="1"/>
  <c r="J50" i="14"/>
  <c r="H51" i="14"/>
  <c r="Q50" i="14" a="1"/>
  <c r="Q50" i="14" s="1"/>
  <c r="I50" i="14"/>
  <c r="M50" i="14"/>
  <c r="L50" i="14"/>
  <c r="K50" i="13"/>
  <c r="J50" i="13"/>
  <c r="Q50" i="13" a="1"/>
  <c r="Q50" i="13" s="1"/>
  <c r="H51" i="13"/>
  <c r="I50" i="13"/>
  <c r="L50" i="13"/>
  <c r="M50" i="13"/>
  <c r="K50" i="12"/>
  <c r="J50" i="12"/>
  <c r="H51" i="12"/>
  <c r="I50" i="12"/>
  <c r="Q50" i="12" a="1"/>
  <c r="Q50" i="12" s="1"/>
  <c r="L50" i="12"/>
  <c r="M50" i="12"/>
  <c r="J8" i="6"/>
  <c r="K8" i="6"/>
  <c r="I8" i="6"/>
  <c r="L8" i="6"/>
  <c r="M8" i="6"/>
  <c r="H9" i="6"/>
  <c r="K51" i="14" l="1"/>
  <c r="J51" i="14"/>
  <c r="H52" i="14"/>
  <c r="Q51" i="14" a="1"/>
  <c r="Q51" i="14" s="1"/>
  <c r="I51" i="14"/>
  <c r="M51" i="14"/>
  <c r="L51" i="14"/>
  <c r="K51" i="13"/>
  <c r="J51" i="13"/>
  <c r="H52" i="13"/>
  <c r="Q51" i="13" a="1"/>
  <c r="Q51" i="13" s="1"/>
  <c r="I51" i="13"/>
  <c r="L51" i="13"/>
  <c r="M51" i="13"/>
  <c r="K51" i="12"/>
  <c r="J51" i="12"/>
  <c r="H52" i="12"/>
  <c r="Q51" i="12" a="1"/>
  <c r="Q51" i="12" s="1"/>
  <c r="I51" i="12"/>
  <c r="L51" i="12"/>
  <c r="M51" i="12"/>
  <c r="I9" i="6"/>
  <c r="K9" i="6"/>
  <c r="J9" i="6"/>
  <c r="L9" i="6"/>
  <c r="M9" i="6"/>
  <c r="H10" i="6"/>
  <c r="J52" i="14" l="1"/>
  <c r="H53" i="14"/>
  <c r="Q52" i="14" a="1"/>
  <c r="Q52" i="14" s="1"/>
  <c r="I52" i="14"/>
  <c r="K52" i="14"/>
  <c r="M52" i="14"/>
  <c r="L52" i="14"/>
  <c r="J52" i="13"/>
  <c r="H53" i="13"/>
  <c r="Q52" i="13" a="1"/>
  <c r="Q52" i="13" s="1"/>
  <c r="I52" i="13"/>
  <c r="K52" i="13"/>
  <c r="M52" i="13"/>
  <c r="L52" i="13"/>
  <c r="J52" i="12"/>
  <c r="H53" i="12"/>
  <c r="Q52" i="12" a="1"/>
  <c r="Q52" i="12" s="1"/>
  <c r="I52" i="12"/>
  <c r="K52" i="12"/>
  <c r="M52" i="12"/>
  <c r="L52" i="12"/>
  <c r="J10" i="6"/>
  <c r="I10" i="6"/>
  <c r="K10" i="6"/>
  <c r="L10" i="6"/>
  <c r="M10" i="6"/>
  <c r="H11" i="6"/>
  <c r="H54" i="14" l="1"/>
  <c r="Q53" i="14" a="1"/>
  <c r="Q53" i="14" s="1"/>
  <c r="I53" i="14"/>
  <c r="J53" i="14"/>
  <c r="K53" i="14"/>
  <c r="M53" i="14"/>
  <c r="L53" i="14"/>
  <c r="H54" i="13"/>
  <c r="Q53" i="13" a="1"/>
  <c r="Q53" i="13" s="1"/>
  <c r="I53" i="13"/>
  <c r="K53" i="13"/>
  <c r="J53" i="13"/>
  <c r="L53" i="13"/>
  <c r="M53" i="13"/>
  <c r="H54" i="12"/>
  <c r="Q53" i="12" a="1"/>
  <c r="Q53" i="12" s="1"/>
  <c r="I53" i="12"/>
  <c r="K53" i="12"/>
  <c r="J53" i="12"/>
  <c r="M53" i="12"/>
  <c r="L53" i="12"/>
  <c r="I11" i="6"/>
  <c r="J11" i="6"/>
  <c r="K11" i="6"/>
  <c r="H12" i="6"/>
  <c r="L11" i="6"/>
  <c r="M11" i="6"/>
  <c r="I54" i="14" l="1"/>
  <c r="Q54" i="14" a="1"/>
  <c r="Q54" i="14" s="1"/>
  <c r="K54" i="14"/>
  <c r="J54" i="14"/>
  <c r="M54" i="14"/>
  <c r="P49" i="14" s="1"/>
  <c r="L54" i="14"/>
  <c r="N49" i="14"/>
  <c r="N51" i="14"/>
  <c r="O47" i="14"/>
  <c r="J54" i="13"/>
  <c r="Q54" i="13" a="1"/>
  <c r="Q54" i="13" s="1"/>
  <c r="K54" i="13"/>
  <c r="I54" i="13"/>
  <c r="L54" i="13"/>
  <c r="M54" i="13"/>
  <c r="O49" i="13" s="1"/>
  <c r="N51" i="12"/>
  <c r="J54" i="12"/>
  <c r="O49" i="12" s="1"/>
  <c r="K54" i="12"/>
  <c r="Q54" i="12" a="1"/>
  <c r="Q54" i="12" s="1"/>
  <c r="I54" i="12"/>
  <c r="N49" i="12" s="1"/>
  <c r="L54" i="12"/>
  <c r="M54" i="12"/>
  <c r="P47" i="12"/>
  <c r="K12" i="6"/>
  <c r="I12" i="6"/>
  <c r="J12" i="6"/>
  <c r="L12" i="6"/>
  <c r="H13" i="6"/>
  <c r="M12" i="6"/>
  <c r="P49" i="13" l="1"/>
  <c r="P46" i="14"/>
  <c r="O48" i="14"/>
  <c r="O50" i="14"/>
  <c r="O44" i="14"/>
  <c r="O45" i="14"/>
  <c r="N52" i="14"/>
  <c r="Z52" i="14" s="1"/>
  <c r="Y52" i="14" s="1"/>
  <c r="N46" i="14"/>
  <c r="Z51" i="14"/>
  <c r="Y51" i="14" s="1"/>
  <c r="N53" i="14"/>
  <c r="N4" i="14"/>
  <c r="Q4" i="14" s="1" a="1"/>
  <c r="Q4" i="14" s="1"/>
  <c r="N6" i="14"/>
  <c r="Q8" i="14" a="1"/>
  <c r="Q8" i="14" s="1"/>
  <c r="N5" i="14"/>
  <c r="N8" i="14"/>
  <c r="N9" i="14"/>
  <c r="Q9" i="14" s="1" a="1"/>
  <c r="Q9" i="14" s="1"/>
  <c r="N7" i="14"/>
  <c r="Q7" i="14" s="1" a="1"/>
  <c r="Q7" i="14" s="1"/>
  <c r="Q12" i="14" a="1"/>
  <c r="Q12" i="14" s="1"/>
  <c r="N12" i="14"/>
  <c r="Q13" i="14" a="1"/>
  <c r="Q13" i="14" s="1"/>
  <c r="N10" i="14"/>
  <c r="Q10" i="14" s="1" a="1"/>
  <c r="Q10" i="14" s="1"/>
  <c r="N13" i="14"/>
  <c r="N11" i="14"/>
  <c r="Q11" i="14" s="1" a="1"/>
  <c r="Q11" i="14" s="1"/>
  <c r="N14" i="14"/>
  <c r="Q14" i="14" s="1" a="1"/>
  <c r="Q14" i="14" s="1"/>
  <c r="N15" i="14"/>
  <c r="Q15" i="14" s="1" a="1"/>
  <c r="Q15" i="14" s="1"/>
  <c r="N16" i="14"/>
  <c r="N17" i="14"/>
  <c r="Q17" i="14" s="1" a="1"/>
  <c r="Q17" i="14" s="1"/>
  <c r="N19" i="14"/>
  <c r="Q19" i="14" s="1" a="1"/>
  <c r="Q19" i="14" s="1"/>
  <c r="N18" i="14"/>
  <c r="N22" i="14"/>
  <c r="Q22" i="14" s="1" a="1"/>
  <c r="Q22" i="14" s="1"/>
  <c r="N20" i="14"/>
  <c r="Q20" i="14" s="1" a="1"/>
  <c r="Q20" i="14" s="1"/>
  <c r="N21" i="14"/>
  <c r="N24" i="14"/>
  <c r="N23" i="14"/>
  <c r="N28" i="14"/>
  <c r="Q28" i="14" s="1" a="1"/>
  <c r="Q28" i="14" s="1"/>
  <c r="N25" i="14"/>
  <c r="N26" i="14"/>
  <c r="N27" i="14"/>
  <c r="Q29" i="14" a="1"/>
  <c r="Q29" i="14" s="1"/>
  <c r="N29" i="14"/>
  <c r="N32" i="14"/>
  <c r="Q32" i="14" s="1" a="1"/>
  <c r="Q32" i="14" s="1"/>
  <c r="N30" i="14"/>
  <c r="Q30" i="14" s="1" a="1"/>
  <c r="Q30" i="14" s="1"/>
  <c r="N31" i="14"/>
  <c r="Q33" i="14" a="1"/>
  <c r="Q33" i="14" s="1"/>
  <c r="N38" i="14"/>
  <c r="Q38" i="14" s="1" a="1"/>
  <c r="Q38" i="14" s="1"/>
  <c r="N33" i="14"/>
  <c r="N34" i="14"/>
  <c r="N36" i="14"/>
  <c r="Q36" i="14" s="1" a="1"/>
  <c r="Q36" i="14" s="1"/>
  <c r="N35" i="14"/>
  <c r="N37" i="14"/>
  <c r="Q37" i="14" s="1" a="1"/>
  <c r="Q37" i="14" s="1"/>
  <c r="N39" i="14"/>
  <c r="N42" i="14"/>
  <c r="N40" i="14"/>
  <c r="N44" i="14"/>
  <c r="N43" i="14"/>
  <c r="N41" i="14"/>
  <c r="N45" i="14"/>
  <c r="N48" i="14"/>
  <c r="N54" i="14"/>
  <c r="Q5" i="14" a="1"/>
  <c r="Q5" i="14" s="1"/>
  <c r="Q16" i="14" a="1"/>
  <c r="Q16" i="14" s="1"/>
  <c r="R39" i="14" a="1"/>
  <c r="R39" i="14" s="1"/>
  <c r="AC39" i="14" s="1"/>
  <c r="R44" i="14" a="1"/>
  <c r="R44" i="14" s="1"/>
  <c r="AC44" i="14" s="1"/>
  <c r="AD44" i="14" s="1"/>
  <c r="S52" i="14" a="1"/>
  <c r="S52" i="14" s="1"/>
  <c r="AE52" i="14" s="1"/>
  <c r="P50" i="14"/>
  <c r="S50" i="14" s="1" a="1"/>
  <c r="S50" i="14" s="1"/>
  <c r="AE50" i="14" s="1"/>
  <c r="O49" i="14"/>
  <c r="O53" i="14"/>
  <c r="R53" i="14" a="1"/>
  <c r="R53" i="14" s="1"/>
  <c r="AC53" i="14" s="1"/>
  <c r="O4" i="14"/>
  <c r="R4" i="14" s="1" a="1"/>
  <c r="R4" i="14" s="1"/>
  <c r="AC4" i="14" s="1"/>
  <c r="O5" i="14"/>
  <c r="R5" i="14" s="1" a="1"/>
  <c r="R5" i="14" s="1"/>
  <c r="AC5" i="14" s="1"/>
  <c r="O6" i="14"/>
  <c r="R6" i="14" s="1" a="1"/>
  <c r="R6" i="14" s="1"/>
  <c r="AC6" i="14" s="1"/>
  <c r="O8" i="14"/>
  <c r="R8" i="14" s="1" a="1"/>
  <c r="R8" i="14" s="1"/>
  <c r="AC8" i="14" s="1"/>
  <c r="O9" i="14"/>
  <c r="O7" i="14"/>
  <c r="R11" i="14" a="1"/>
  <c r="R11" i="14" s="1"/>
  <c r="AC11" i="14" s="1"/>
  <c r="O13" i="14"/>
  <c r="R13" i="14" s="1" a="1"/>
  <c r="R13" i="14" s="1"/>
  <c r="AC13" i="14" s="1"/>
  <c r="O11" i="14"/>
  <c r="R14" i="14" a="1"/>
  <c r="R14" i="14" s="1"/>
  <c r="AC14" i="14" s="1"/>
  <c r="O15" i="14"/>
  <c r="O10" i="14"/>
  <c r="O12" i="14"/>
  <c r="O14" i="14"/>
  <c r="O17" i="14"/>
  <c r="O18" i="14"/>
  <c r="O16" i="14"/>
  <c r="O19" i="14"/>
  <c r="R19" i="14" s="1" a="1"/>
  <c r="R19" i="14" s="1"/>
  <c r="AC19" i="14" s="1"/>
  <c r="O20" i="14"/>
  <c r="R20" i="14" s="1" a="1"/>
  <c r="R20" i="14" s="1"/>
  <c r="AC20" i="14" s="1"/>
  <c r="O21" i="14"/>
  <c r="R21" i="14" a="1"/>
  <c r="R21" i="14" s="1"/>
  <c r="AC21" i="14" s="1"/>
  <c r="O22" i="14"/>
  <c r="R22" i="14" s="1" a="1"/>
  <c r="R22" i="14" s="1"/>
  <c r="AC22" i="14" s="1"/>
  <c r="O23" i="14"/>
  <c r="R23" i="14" s="1" a="1"/>
  <c r="R23" i="14" s="1"/>
  <c r="AC23" i="14" s="1"/>
  <c r="O24" i="14"/>
  <c r="R24" i="14" s="1" a="1"/>
  <c r="R24" i="14" s="1"/>
  <c r="AC24" i="14" s="1"/>
  <c r="O25" i="14"/>
  <c r="O26" i="14"/>
  <c r="O27" i="14"/>
  <c r="R27" i="14" s="1" a="1"/>
  <c r="R27" i="14" s="1"/>
  <c r="AC27" i="14" s="1"/>
  <c r="O28" i="14"/>
  <c r="R28" i="14" s="1" a="1"/>
  <c r="R28" i="14" s="1"/>
  <c r="AC28" i="14" s="1"/>
  <c r="O29" i="14"/>
  <c r="R29" i="14" s="1" a="1"/>
  <c r="R29" i="14" s="1"/>
  <c r="AC29" i="14" s="1"/>
  <c r="R34" i="14" a="1"/>
  <c r="R34" i="14" s="1"/>
  <c r="AC34" i="14" s="1"/>
  <c r="O31" i="14"/>
  <c r="O30" i="14"/>
  <c r="R30" i="14" s="1" a="1"/>
  <c r="R30" i="14" s="1"/>
  <c r="AC30" i="14" s="1"/>
  <c r="O32" i="14"/>
  <c r="R32" i="14" a="1"/>
  <c r="R32" i="14" s="1"/>
  <c r="AC32" i="14" s="1"/>
  <c r="O34" i="14"/>
  <c r="O33" i="14"/>
  <c r="O35" i="14"/>
  <c r="O36" i="14"/>
  <c r="O37" i="14"/>
  <c r="O39" i="14"/>
  <c r="O38" i="14"/>
  <c r="O40" i="14"/>
  <c r="R40" i="14" s="1" a="1"/>
  <c r="R40" i="14" s="1"/>
  <c r="AC40" i="14" s="1"/>
  <c r="R45" i="14" a="1"/>
  <c r="R45" i="14" s="1"/>
  <c r="AC45" i="14" s="1"/>
  <c r="AD45" i="14" s="1"/>
  <c r="O42" i="14"/>
  <c r="R42" i="14" s="1" a="1"/>
  <c r="R42" i="14" s="1"/>
  <c r="AC42" i="14" s="1"/>
  <c r="O43" i="14"/>
  <c r="R43" i="14" s="1" a="1"/>
  <c r="R43" i="14" s="1"/>
  <c r="AC43" i="14" s="1"/>
  <c r="O41" i="14"/>
  <c r="O51" i="14"/>
  <c r="O46" i="14"/>
  <c r="V46" i="14" s="1"/>
  <c r="R47" i="14" a="1"/>
  <c r="R47" i="14" s="1"/>
  <c r="AC47" i="14" s="1"/>
  <c r="AD47" i="14" s="1"/>
  <c r="R48" i="14" a="1"/>
  <c r="R48" i="14" s="1"/>
  <c r="AC48" i="14" s="1"/>
  <c r="AD48" i="14" s="1"/>
  <c r="P52" i="14"/>
  <c r="Z49" i="14"/>
  <c r="Y49" i="14"/>
  <c r="V49" i="14"/>
  <c r="R50" i="14" a="1"/>
  <c r="R50" i="14" s="1"/>
  <c r="AC50" i="14" s="1"/>
  <c r="AD50" i="14" s="1"/>
  <c r="P53" i="14"/>
  <c r="P5" i="14"/>
  <c r="S5" i="14" a="1"/>
  <c r="S5" i="14" s="1"/>
  <c r="AE5" i="14" s="1"/>
  <c r="P4" i="14"/>
  <c r="S4" i="14" a="1"/>
  <c r="S4" i="14" s="1"/>
  <c r="AE4" i="14" s="1"/>
  <c r="S7" i="14" a="1"/>
  <c r="S7" i="14" s="1"/>
  <c r="AE7" i="14" s="1"/>
  <c r="P6" i="14"/>
  <c r="P7" i="14"/>
  <c r="P8" i="14"/>
  <c r="P10" i="14"/>
  <c r="P9" i="14"/>
  <c r="S9" i="14" s="1" a="1"/>
  <c r="S9" i="14" s="1"/>
  <c r="AE9" i="14" s="1"/>
  <c r="P11" i="14"/>
  <c r="S11" i="14" s="1" a="1"/>
  <c r="S11" i="14" s="1"/>
  <c r="AE11" i="14" s="1"/>
  <c r="P12" i="14"/>
  <c r="S12" i="14" s="1" a="1"/>
  <c r="S12" i="14" s="1"/>
  <c r="AE12" i="14" s="1"/>
  <c r="P13" i="14"/>
  <c r="P14" i="14"/>
  <c r="P15" i="14"/>
  <c r="P17" i="14"/>
  <c r="S17" i="14" s="1" a="1"/>
  <c r="S17" i="14" s="1"/>
  <c r="AE17" i="14" s="1"/>
  <c r="S19" i="14" a="1"/>
  <c r="S19" i="14" s="1"/>
  <c r="AE19" i="14" s="1"/>
  <c r="P16" i="14"/>
  <c r="S16" i="14" s="1" a="1"/>
  <c r="S16" i="14" s="1"/>
  <c r="AE16" i="14" s="1"/>
  <c r="S20" i="14" a="1"/>
  <c r="S20" i="14" s="1"/>
  <c r="AE20" i="14" s="1"/>
  <c r="P21" i="14"/>
  <c r="P18" i="14"/>
  <c r="P22" i="14"/>
  <c r="P19" i="14"/>
  <c r="P20" i="14"/>
  <c r="S22" i="14" a="1"/>
  <c r="S22" i="14" s="1"/>
  <c r="AE22" i="14" s="1"/>
  <c r="P24" i="14"/>
  <c r="P25" i="14"/>
  <c r="S25" i="14" s="1" a="1"/>
  <c r="S25" i="14" s="1"/>
  <c r="AE25" i="14" s="1"/>
  <c r="P23" i="14"/>
  <c r="P26" i="14"/>
  <c r="P27" i="14"/>
  <c r="S27" i="14" s="1" a="1"/>
  <c r="S27" i="14" s="1"/>
  <c r="AE27" i="14" s="1"/>
  <c r="P31" i="14"/>
  <c r="P29" i="14"/>
  <c r="P28" i="14"/>
  <c r="S28" i="14" s="1" a="1"/>
  <c r="S28" i="14" s="1"/>
  <c r="AE28" i="14" s="1"/>
  <c r="P30" i="14"/>
  <c r="P32" i="14"/>
  <c r="S32" i="14" s="1" a="1"/>
  <c r="S32" i="14" s="1"/>
  <c r="AE32" i="14" s="1"/>
  <c r="P33" i="14"/>
  <c r="S33" i="14" s="1" a="1"/>
  <c r="S33" i="14" s="1"/>
  <c r="AE33" i="14" s="1"/>
  <c r="P34" i="14"/>
  <c r="S34" i="14" s="1" a="1"/>
  <c r="S34" i="14" s="1"/>
  <c r="AE34" i="14" s="1"/>
  <c r="P35" i="14"/>
  <c r="P37" i="14"/>
  <c r="S37" i="14" s="1" a="1"/>
  <c r="S37" i="14" s="1"/>
  <c r="AE37" i="14" s="1"/>
  <c r="P40" i="14"/>
  <c r="P36" i="14"/>
  <c r="S36" i="14" s="1" a="1"/>
  <c r="S36" i="14" s="1"/>
  <c r="AE36" i="14" s="1"/>
  <c r="P38" i="14"/>
  <c r="P41" i="14"/>
  <c r="S41" i="14" s="1" a="1"/>
  <c r="S41" i="14" s="1"/>
  <c r="AE41" i="14" s="1"/>
  <c r="P39" i="14"/>
  <c r="P42" i="14"/>
  <c r="S42" i="14" s="1" a="1"/>
  <c r="S42" i="14" s="1"/>
  <c r="AE42" i="14" s="1"/>
  <c r="P43" i="14"/>
  <c r="S43" i="14" s="1" a="1"/>
  <c r="S43" i="14" s="1"/>
  <c r="AE43" i="14" s="1"/>
  <c r="P44" i="14"/>
  <c r="S44" i="14" s="1" a="1"/>
  <c r="S44" i="14" s="1"/>
  <c r="AE44" i="14" s="1"/>
  <c r="P45" i="14"/>
  <c r="S45" i="14" s="1" a="1"/>
  <c r="S45" i="14" s="1"/>
  <c r="AE45" i="14" s="1"/>
  <c r="P48" i="14"/>
  <c r="S49" i="14" a="1"/>
  <c r="S49" i="14" s="1"/>
  <c r="AE49" i="14" s="1"/>
  <c r="AF49" i="14" s="1"/>
  <c r="S46" i="14" a="1"/>
  <c r="S46" i="14" s="1"/>
  <c r="AE46" i="14" s="1"/>
  <c r="AF46" i="14" s="1"/>
  <c r="P51" i="14"/>
  <c r="S51" i="14" s="1" a="1"/>
  <c r="S51" i="14" s="1"/>
  <c r="AE51" i="14" s="1"/>
  <c r="P47" i="14"/>
  <c r="N50" i="14"/>
  <c r="Z46" i="14"/>
  <c r="Y46" i="14" s="1"/>
  <c r="P54" i="14"/>
  <c r="O54" i="14"/>
  <c r="S15" i="14" a="1"/>
  <c r="S15" i="14" s="1"/>
  <c r="AE15" i="14" s="1"/>
  <c r="S23" i="14" a="1"/>
  <c r="S23" i="14" s="1"/>
  <c r="AE23" i="14" s="1"/>
  <c r="S26" i="14" a="1"/>
  <c r="S26" i="14" s="1"/>
  <c r="AE26" i="14" s="1"/>
  <c r="R49" i="14" a="1"/>
  <c r="R49" i="14" s="1"/>
  <c r="AC49" i="14" s="1"/>
  <c r="O52" i="14"/>
  <c r="V52" i="14" s="1"/>
  <c r="N47" i="14"/>
  <c r="S48" i="14" a="1"/>
  <c r="S48" i="14" s="1"/>
  <c r="AE48" i="14" s="1"/>
  <c r="O50" i="13"/>
  <c r="O48" i="13"/>
  <c r="R48" i="13" s="1" a="1"/>
  <c r="R48" i="13" s="1"/>
  <c r="AC48" i="13" s="1"/>
  <c r="AD48" i="13" s="1"/>
  <c r="P52" i="13"/>
  <c r="S52" i="13" s="1" a="1"/>
  <c r="S52" i="13" s="1"/>
  <c r="AE52" i="13" s="1"/>
  <c r="P51" i="13"/>
  <c r="N48" i="13"/>
  <c r="Z48" i="13" s="1"/>
  <c r="O51" i="13"/>
  <c r="O52" i="13"/>
  <c r="N54" i="13"/>
  <c r="N52" i="13"/>
  <c r="P54" i="13"/>
  <c r="O54" i="13"/>
  <c r="R54" i="13" s="1" a="1"/>
  <c r="R54" i="13" s="1"/>
  <c r="AC54" i="13" s="1"/>
  <c r="P50" i="13"/>
  <c r="S49" i="13" a="1"/>
  <c r="S49" i="13" s="1"/>
  <c r="AE49" i="13" s="1"/>
  <c r="AF49" i="13" s="1"/>
  <c r="R51" i="13" a="1"/>
  <c r="R51" i="13" s="1"/>
  <c r="AC51" i="13" s="1"/>
  <c r="AD51" i="13" s="1"/>
  <c r="P46" i="13"/>
  <c r="S46" i="13" s="1" a="1"/>
  <c r="S46" i="13" s="1"/>
  <c r="AE46" i="13" s="1"/>
  <c r="R50" i="13" a="1"/>
  <c r="R50" i="13" s="1"/>
  <c r="AC50" i="13" s="1"/>
  <c r="AD50" i="13" s="1"/>
  <c r="N51" i="13"/>
  <c r="P48" i="13"/>
  <c r="S48" i="13" s="1" a="1"/>
  <c r="S48" i="13" s="1"/>
  <c r="AE48" i="13" s="1"/>
  <c r="N53" i="13"/>
  <c r="N4" i="13"/>
  <c r="N7" i="13"/>
  <c r="Q7" i="13" s="1" a="1"/>
  <c r="Q7" i="13" s="1"/>
  <c r="N6" i="13"/>
  <c r="Q6" i="13" s="1" a="1"/>
  <c r="Q6" i="13" s="1"/>
  <c r="N9" i="13"/>
  <c r="N5" i="13"/>
  <c r="Q5" i="13" s="1" a="1"/>
  <c r="Q5" i="13" s="1"/>
  <c r="N10" i="13"/>
  <c r="Q10" i="13" s="1" a="1"/>
  <c r="Q10" i="13" s="1"/>
  <c r="N8" i="13"/>
  <c r="Q8" i="13" s="1" a="1"/>
  <c r="Q8" i="13" s="1"/>
  <c r="N12" i="13"/>
  <c r="Q12" i="13" s="1" a="1"/>
  <c r="Q12" i="13" s="1"/>
  <c r="N11" i="13"/>
  <c r="Q11" i="13" s="1" a="1"/>
  <c r="Q11" i="13" s="1"/>
  <c r="N14" i="13"/>
  <c r="Q14" i="13" s="1" a="1"/>
  <c r="Q14" i="13" s="1"/>
  <c r="N13" i="13"/>
  <c r="Q13" i="13" s="1" a="1"/>
  <c r="Q13" i="13" s="1"/>
  <c r="N16" i="13"/>
  <c r="Q16" i="13" s="1" a="1"/>
  <c r="Q16" i="13" s="1"/>
  <c r="N17" i="13"/>
  <c r="Q17" i="13" s="1" a="1"/>
  <c r="Q17" i="13" s="1"/>
  <c r="N15" i="13"/>
  <c r="N19" i="13"/>
  <c r="N18" i="13"/>
  <c r="Q18" i="13" s="1" a="1"/>
  <c r="Q18" i="13" s="1"/>
  <c r="N20" i="13"/>
  <c r="Q20" i="13" s="1" a="1"/>
  <c r="Q20" i="13" s="1"/>
  <c r="N21" i="13"/>
  <c r="N22" i="13"/>
  <c r="Q22" i="13" s="1" a="1"/>
  <c r="Q22" i="13" s="1"/>
  <c r="N24" i="13"/>
  <c r="Q24" i="13" s="1" a="1"/>
  <c r="Q24" i="13" s="1"/>
  <c r="N23" i="13"/>
  <c r="N25" i="13"/>
  <c r="N26" i="13"/>
  <c r="Q26" i="13" s="1" a="1"/>
  <c r="Q26" i="13" s="1"/>
  <c r="N28" i="13"/>
  <c r="Q28" i="13" s="1" a="1"/>
  <c r="Q28" i="13" s="1"/>
  <c r="N27" i="13"/>
  <c r="Q27" i="13" s="1" a="1"/>
  <c r="Q27" i="13" s="1"/>
  <c r="N30" i="13"/>
  <c r="N31" i="13"/>
  <c r="N29" i="13"/>
  <c r="Q29" i="13" s="1" a="1"/>
  <c r="Q29" i="13" s="1"/>
  <c r="N34" i="13"/>
  <c r="Q34" i="13" s="1" a="1"/>
  <c r="Q34" i="13" s="1"/>
  <c r="N33" i="13"/>
  <c r="Q33" i="13" s="1" a="1"/>
  <c r="Q33" i="13" s="1"/>
  <c r="N32" i="13"/>
  <c r="Q32" i="13" s="1" a="1"/>
  <c r="Q32" i="13" s="1"/>
  <c r="N36" i="13"/>
  <c r="N35" i="13"/>
  <c r="N38" i="13"/>
  <c r="Q38" i="13" s="1" a="1"/>
  <c r="Q38" i="13" s="1"/>
  <c r="N37" i="13"/>
  <c r="N39" i="13"/>
  <c r="N41" i="13"/>
  <c r="N40" i="13"/>
  <c r="N42" i="13"/>
  <c r="N43" i="13"/>
  <c r="N46" i="13"/>
  <c r="N49" i="13"/>
  <c r="N44" i="13"/>
  <c r="N47" i="13"/>
  <c r="N45" i="13"/>
  <c r="P53" i="13"/>
  <c r="P4" i="13"/>
  <c r="P6" i="13"/>
  <c r="S6" i="13" s="1" a="1"/>
  <c r="S6" i="13" s="1"/>
  <c r="AE6" i="13" s="1"/>
  <c r="S7" i="13" a="1"/>
  <c r="S7" i="13" s="1"/>
  <c r="AE7" i="13" s="1"/>
  <c r="P5" i="13"/>
  <c r="P8" i="13"/>
  <c r="S8" i="13" s="1" a="1"/>
  <c r="S8" i="13" s="1"/>
  <c r="AE8" i="13" s="1"/>
  <c r="P7" i="13"/>
  <c r="P9" i="13"/>
  <c r="P12" i="13"/>
  <c r="S12" i="13" s="1" a="1"/>
  <c r="S12" i="13" s="1"/>
  <c r="AE12" i="13" s="1"/>
  <c r="S10" i="13" a="1"/>
  <c r="S10" i="13" s="1"/>
  <c r="AE10" i="13" s="1"/>
  <c r="P10" i="13"/>
  <c r="P14" i="13"/>
  <c r="S14" i="13" s="1" a="1"/>
  <c r="S14" i="13" s="1"/>
  <c r="AE14" i="13" s="1"/>
  <c r="P11" i="13"/>
  <c r="P15" i="13"/>
  <c r="P13" i="13"/>
  <c r="S13" i="13" s="1" a="1"/>
  <c r="S13" i="13" s="1"/>
  <c r="AE13" i="13" s="1"/>
  <c r="P18" i="13"/>
  <c r="S18" i="13" s="1" a="1"/>
  <c r="S18" i="13" s="1"/>
  <c r="AE18" i="13" s="1"/>
  <c r="P17" i="13"/>
  <c r="S17" i="13" s="1" a="1"/>
  <c r="S17" i="13" s="1"/>
  <c r="AE17" i="13" s="1"/>
  <c r="P16" i="13"/>
  <c r="P20" i="13"/>
  <c r="S20" i="13" s="1" a="1"/>
  <c r="S20" i="13" s="1"/>
  <c r="AE20" i="13" s="1"/>
  <c r="P19" i="13"/>
  <c r="P21" i="13"/>
  <c r="S21" i="13" s="1" a="1"/>
  <c r="S21" i="13" s="1"/>
  <c r="AE21" i="13" s="1"/>
  <c r="P23" i="13"/>
  <c r="S23" i="13" s="1" a="1"/>
  <c r="S23" i="13" s="1"/>
  <c r="AE23" i="13" s="1"/>
  <c r="P22" i="13"/>
  <c r="S22" i="13" s="1" a="1"/>
  <c r="S22" i="13" s="1"/>
  <c r="AE22" i="13" s="1"/>
  <c r="P24" i="13"/>
  <c r="S24" i="13" s="1" a="1"/>
  <c r="S24" i="13" s="1"/>
  <c r="AE24" i="13" s="1"/>
  <c r="P25" i="13"/>
  <c r="P26" i="13"/>
  <c r="P29" i="13"/>
  <c r="P27" i="13"/>
  <c r="P28" i="13"/>
  <c r="S28" i="13" s="1" a="1"/>
  <c r="S28" i="13" s="1"/>
  <c r="AE28" i="13" s="1"/>
  <c r="P30" i="13"/>
  <c r="P31" i="13"/>
  <c r="P32" i="13"/>
  <c r="P34" i="13"/>
  <c r="S34" i="13" s="1" a="1"/>
  <c r="S34" i="13" s="1"/>
  <c r="AE34" i="13" s="1"/>
  <c r="P33" i="13"/>
  <c r="S33" i="13" s="1" a="1"/>
  <c r="S33" i="13" s="1"/>
  <c r="AE33" i="13" s="1"/>
  <c r="S38" i="13" a="1"/>
  <c r="S38" i="13" s="1"/>
  <c r="AE38" i="13" s="1"/>
  <c r="P36" i="13"/>
  <c r="S36" i="13" s="1" a="1"/>
  <c r="S36" i="13" s="1"/>
  <c r="AE36" i="13" s="1"/>
  <c r="P35" i="13"/>
  <c r="P40" i="13"/>
  <c r="S40" i="13" s="1" a="1"/>
  <c r="S40" i="13" s="1"/>
  <c r="AE40" i="13" s="1"/>
  <c r="P38" i="13"/>
  <c r="P37" i="13"/>
  <c r="S37" i="13" s="1" a="1"/>
  <c r="S37" i="13" s="1"/>
  <c r="AE37" i="13" s="1"/>
  <c r="P39" i="13"/>
  <c r="P42" i="13"/>
  <c r="S42" i="13" s="1" a="1"/>
  <c r="S42" i="13" s="1"/>
  <c r="AE42" i="13" s="1"/>
  <c r="P41" i="13"/>
  <c r="S41" i="13" s="1" a="1"/>
  <c r="S41" i="13" s="1"/>
  <c r="AE41" i="13" s="1"/>
  <c r="P43" i="13"/>
  <c r="P44" i="13"/>
  <c r="S44" i="13" s="1" a="1"/>
  <c r="S44" i="13" s="1"/>
  <c r="AE44" i="13" s="1"/>
  <c r="P45" i="13"/>
  <c r="S45" i="13" s="1" a="1"/>
  <c r="S45" i="13" s="1"/>
  <c r="AE45" i="13" s="1"/>
  <c r="P47" i="13"/>
  <c r="S47" i="13" s="1" a="1"/>
  <c r="S47" i="13" s="1"/>
  <c r="AE47" i="13" s="1"/>
  <c r="S50" i="13" a="1"/>
  <c r="S50" i="13" s="1"/>
  <c r="AE50" i="13" s="1"/>
  <c r="N50" i="13"/>
  <c r="O53" i="13"/>
  <c r="R53" i="13" a="1"/>
  <c r="R53" i="13" s="1"/>
  <c r="AC53" i="13" s="1"/>
  <c r="O5" i="13"/>
  <c r="R5" i="13" s="1" a="1"/>
  <c r="R5" i="13" s="1"/>
  <c r="AC5" i="13" s="1"/>
  <c r="O4" i="13"/>
  <c r="R4" i="13" s="1" a="1"/>
  <c r="R4" i="13" s="1"/>
  <c r="AC4" i="13" s="1"/>
  <c r="O6" i="13"/>
  <c r="R6" i="13" s="1" a="1"/>
  <c r="R6" i="13" s="1"/>
  <c r="AC6" i="13" s="1"/>
  <c r="O8" i="13"/>
  <c r="O7" i="13"/>
  <c r="R7" i="13" a="1"/>
  <c r="R7" i="13" s="1"/>
  <c r="AC7" i="13" s="1"/>
  <c r="O9" i="13"/>
  <c r="O10" i="13"/>
  <c r="R10" i="13" s="1" a="1"/>
  <c r="R10" i="13" s="1"/>
  <c r="AC10" i="13" s="1"/>
  <c r="O11" i="13"/>
  <c r="O14" i="13"/>
  <c r="R14" i="13" s="1" a="1"/>
  <c r="R14" i="13" s="1"/>
  <c r="AC14" i="13" s="1"/>
  <c r="O12" i="13"/>
  <c r="R12" i="13" s="1" a="1"/>
  <c r="R12" i="13" s="1"/>
  <c r="AC12" i="13" s="1"/>
  <c r="O16" i="13"/>
  <c r="R16" i="13" s="1" a="1"/>
  <c r="R16" i="13" s="1"/>
  <c r="AC16" i="13" s="1"/>
  <c r="O13" i="13"/>
  <c r="R13" i="13" s="1" a="1"/>
  <c r="R13" i="13" s="1"/>
  <c r="AC13" i="13" s="1"/>
  <c r="O15" i="13"/>
  <c r="R15" i="13" s="1" a="1"/>
  <c r="R15" i="13" s="1"/>
  <c r="AC15" i="13" s="1"/>
  <c r="O19" i="13"/>
  <c r="R19" i="13" s="1" a="1"/>
  <c r="R19" i="13" s="1"/>
  <c r="AC19" i="13" s="1"/>
  <c r="O17" i="13"/>
  <c r="R17" i="13" s="1" a="1"/>
  <c r="R17" i="13" s="1"/>
  <c r="AC17" i="13" s="1"/>
  <c r="O18" i="13"/>
  <c r="O20" i="13"/>
  <c r="O21" i="13"/>
  <c r="R21" i="13" s="1" a="1"/>
  <c r="R21" i="13" s="1"/>
  <c r="AC21" i="13" s="1"/>
  <c r="O22" i="13"/>
  <c r="R22" i="13" s="1" a="1"/>
  <c r="R22" i="13" s="1"/>
  <c r="AC22" i="13" s="1"/>
  <c r="O23" i="13"/>
  <c r="R23" i="13" s="1" a="1"/>
  <c r="R23" i="13" s="1"/>
  <c r="AC23" i="13" s="1"/>
  <c r="O24" i="13"/>
  <c r="R24" i="13" s="1" a="1"/>
  <c r="R24" i="13" s="1"/>
  <c r="AC24" i="13" s="1"/>
  <c r="O26" i="13"/>
  <c r="R26" i="13" s="1" a="1"/>
  <c r="R26" i="13" s="1"/>
  <c r="AC26" i="13" s="1"/>
  <c r="O25" i="13"/>
  <c r="R25" i="13" s="1" a="1"/>
  <c r="R25" i="13" s="1"/>
  <c r="AC25" i="13" s="1"/>
  <c r="O27" i="13"/>
  <c r="R27" i="13" s="1" a="1"/>
  <c r="R27" i="13" s="1"/>
  <c r="AC27" i="13" s="1"/>
  <c r="O29" i="13"/>
  <c r="O28" i="13"/>
  <c r="O30" i="13"/>
  <c r="R30" i="13" s="1" a="1"/>
  <c r="R30" i="13" s="1"/>
  <c r="AC30" i="13" s="1"/>
  <c r="O33" i="13"/>
  <c r="R33" i="13" s="1" a="1"/>
  <c r="R33" i="13" s="1"/>
  <c r="AC33" i="13" s="1"/>
  <c r="O31" i="13"/>
  <c r="O32" i="13"/>
  <c r="O34" i="13"/>
  <c r="R34" i="13" s="1" a="1"/>
  <c r="R34" i="13" s="1"/>
  <c r="AC34" i="13" s="1"/>
  <c r="O36" i="13"/>
  <c r="R36" i="13" s="1" a="1"/>
  <c r="R36" i="13" s="1"/>
  <c r="AC36" i="13" s="1"/>
  <c r="O35" i="13"/>
  <c r="R35" i="13" s="1" a="1"/>
  <c r="R35" i="13" s="1"/>
  <c r="AC35" i="13" s="1"/>
  <c r="O37" i="13"/>
  <c r="O40" i="13"/>
  <c r="O39" i="13"/>
  <c r="R39" i="13" s="1" a="1"/>
  <c r="R39" i="13" s="1"/>
  <c r="AC39" i="13" s="1"/>
  <c r="O38" i="13"/>
  <c r="R38" i="13" s="1" a="1"/>
  <c r="R38" i="13" s="1"/>
  <c r="AC38" i="13" s="1"/>
  <c r="O41" i="13"/>
  <c r="R41" i="13" s="1" a="1"/>
  <c r="R41" i="13" s="1"/>
  <c r="AC41" i="13" s="1"/>
  <c r="O42" i="13"/>
  <c r="O43" i="13"/>
  <c r="O44" i="13"/>
  <c r="O45" i="13"/>
  <c r="R45" i="13" s="1" a="1"/>
  <c r="R45" i="13" s="1"/>
  <c r="AC45" i="13" s="1"/>
  <c r="O47" i="13"/>
  <c r="O46" i="13"/>
  <c r="R52" i="13" a="1"/>
  <c r="R52" i="13" s="1"/>
  <c r="AC52" i="13" s="1"/>
  <c r="AD52" i="13" s="1"/>
  <c r="R49" i="13" a="1"/>
  <c r="R49" i="13" s="1"/>
  <c r="AC49" i="13" s="1"/>
  <c r="AD49" i="13" s="1"/>
  <c r="Z49" i="12"/>
  <c r="Y49" i="12" s="1"/>
  <c r="P54" i="12"/>
  <c r="O54" i="12"/>
  <c r="S29" i="12" a="1"/>
  <c r="S29" i="12" s="1"/>
  <c r="AE29" i="12" s="1"/>
  <c r="N54" i="12"/>
  <c r="Q12" i="12" a="1"/>
  <c r="Q12" i="12" s="1"/>
  <c r="N50" i="12"/>
  <c r="O53" i="12"/>
  <c r="R53" i="12" s="1" a="1"/>
  <c r="R53" i="12" s="1"/>
  <c r="AC53" i="12" s="1"/>
  <c r="R5" i="12" a="1"/>
  <c r="R5" i="12" s="1"/>
  <c r="AC5" i="12" s="1"/>
  <c r="O6" i="12"/>
  <c r="R6" i="12" s="1" a="1"/>
  <c r="R6" i="12" s="1"/>
  <c r="AC6" i="12" s="1"/>
  <c r="O4" i="12"/>
  <c r="R7" i="12" a="1"/>
  <c r="R7" i="12" s="1"/>
  <c r="AC7" i="12" s="1"/>
  <c r="O5" i="12"/>
  <c r="O11" i="12"/>
  <c r="R8" i="12" a="1"/>
  <c r="R8" i="12" s="1"/>
  <c r="AC8" i="12" s="1"/>
  <c r="O7" i="12"/>
  <c r="O8" i="12"/>
  <c r="R10" i="12" a="1"/>
  <c r="R10" i="12" s="1"/>
  <c r="AC10" i="12" s="1"/>
  <c r="O9" i="12"/>
  <c r="R9" i="12" s="1" a="1"/>
  <c r="R9" i="12" s="1"/>
  <c r="AC9" i="12" s="1"/>
  <c r="O12" i="12"/>
  <c r="O10" i="12"/>
  <c r="R14" i="12" a="1"/>
  <c r="R14" i="12" s="1"/>
  <c r="AC14" i="12" s="1"/>
  <c r="O13" i="12"/>
  <c r="R13" i="12" s="1" a="1"/>
  <c r="R13" i="12" s="1"/>
  <c r="AC13" i="12" s="1"/>
  <c r="O14" i="12"/>
  <c r="O15" i="12"/>
  <c r="R15" i="12" s="1" a="1"/>
  <c r="R15" i="12" s="1"/>
  <c r="AC15" i="12" s="1"/>
  <c r="R16" i="12" a="1"/>
  <c r="R16" i="12" s="1"/>
  <c r="AC16" i="12" s="1"/>
  <c r="O18" i="12"/>
  <c r="O17" i="12"/>
  <c r="O16" i="12"/>
  <c r="R22" i="12" a="1"/>
  <c r="R22" i="12" s="1"/>
  <c r="AC22" i="12" s="1"/>
  <c r="O21" i="12"/>
  <c r="R20" i="12" a="1"/>
  <c r="R20" i="12" s="1"/>
  <c r="AC20" i="12" s="1"/>
  <c r="O19" i="12"/>
  <c r="O20" i="12"/>
  <c r="O23" i="12"/>
  <c r="O22" i="12"/>
  <c r="R26" i="12" a="1"/>
  <c r="R26" i="12" s="1"/>
  <c r="AC26" i="12" s="1"/>
  <c r="O24" i="12"/>
  <c r="O27" i="12"/>
  <c r="R27" i="12" s="1" a="1"/>
  <c r="R27" i="12" s="1"/>
  <c r="AC27" i="12" s="1"/>
  <c r="O26" i="12"/>
  <c r="R28" i="12" a="1"/>
  <c r="R28" i="12" s="1"/>
  <c r="AC28" i="12" s="1"/>
  <c r="O25" i="12"/>
  <c r="R25" i="12" s="1" a="1"/>
  <c r="R25" i="12" s="1"/>
  <c r="AC25" i="12" s="1"/>
  <c r="R29" i="12" a="1"/>
  <c r="R29" i="12" s="1"/>
  <c r="AC29" i="12" s="1"/>
  <c r="O29" i="12"/>
  <c r="O28" i="12"/>
  <c r="R30" i="12" a="1"/>
  <c r="R30" i="12" s="1"/>
  <c r="AC30" i="12" s="1"/>
  <c r="O30" i="12"/>
  <c r="O31" i="12"/>
  <c r="R31" i="12" a="1"/>
  <c r="R31" i="12" s="1"/>
  <c r="AC31" i="12" s="1"/>
  <c r="R35" i="12" a="1"/>
  <c r="R35" i="12" s="1"/>
  <c r="AC35" i="12" s="1"/>
  <c r="R34" i="12" a="1"/>
  <c r="R34" i="12" s="1"/>
  <c r="AC34" i="12" s="1"/>
  <c r="O35" i="12"/>
  <c r="R33" i="12" a="1"/>
  <c r="R33" i="12" s="1"/>
  <c r="AC33" i="12" s="1"/>
  <c r="O32" i="12"/>
  <c r="R32" i="12" s="1" a="1"/>
  <c r="R32" i="12" s="1"/>
  <c r="AC32" i="12" s="1"/>
  <c r="O33" i="12"/>
  <c r="O34" i="12"/>
  <c r="O36" i="12"/>
  <c r="R36" i="12" s="1" a="1"/>
  <c r="R36" i="12" s="1"/>
  <c r="AC36" i="12" s="1"/>
  <c r="O37" i="12"/>
  <c r="O40" i="12"/>
  <c r="O38" i="12"/>
  <c r="R38" i="12" s="1" a="1"/>
  <c r="R38" i="12" s="1"/>
  <c r="AC38" i="12" s="1"/>
  <c r="O39" i="12"/>
  <c r="R41" i="12" a="1"/>
  <c r="R41" i="12" s="1"/>
  <c r="AC41" i="12" s="1"/>
  <c r="O41" i="12"/>
  <c r="R44" i="12" a="1"/>
  <c r="R44" i="12" s="1"/>
  <c r="AC44" i="12" s="1"/>
  <c r="R40" i="12" a="1"/>
  <c r="R40" i="12" s="1"/>
  <c r="AC40" i="12" s="1"/>
  <c r="O42" i="12"/>
  <c r="O43" i="12"/>
  <c r="O44" i="12"/>
  <c r="O45" i="12"/>
  <c r="O47" i="12"/>
  <c r="Z51" i="12"/>
  <c r="Y51" i="12"/>
  <c r="N52" i="12"/>
  <c r="O50" i="12"/>
  <c r="P53" i="12"/>
  <c r="S53" i="12" s="1" a="1"/>
  <c r="S53" i="12" s="1"/>
  <c r="AE53" i="12" s="1"/>
  <c r="P4" i="12"/>
  <c r="S4" i="12" s="1" a="1"/>
  <c r="S4" i="12" s="1"/>
  <c r="AE4" i="12" s="1"/>
  <c r="P5" i="12"/>
  <c r="S8" i="12" a="1"/>
  <c r="S8" i="12" s="1"/>
  <c r="AE8" i="12" s="1"/>
  <c r="P7" i="12"/>
  <c r="S7" i="12" s="1" a="1"/>
  <c r="S7" i="12" s="1"/>
  <c r="AE7" i="12" s="1"/>
  <c r="P8" i="12"/>
  <c r="S10" i="12" a="1"/>
  <c r="S10" i="12" s="1"/>
  <c r="AE10" i="12" s="1"/>
  <c r="P6" i="12"/>
  <c r="S12" i="12" a="1"/>
  <c r="S12" i="12" s="1"/>
  <c r="AE12" i="12" s="1"/>
  <c r="P9" i="12"/>
  <c r="P14" i="12"/>
  <c r="P10" i="12"/>
  <c r="S13" i="12" a="1"/>
  <c r="S13" i="12" s="1"/>
  <c r="AE13" i="12" s="1"/>
  <c r="P12" i="12"/>
  <c r="P11" i="12"/>
  <c r="S11" i="12" s="1" a="1"/>
  <c r="S11" i="12" s="1"/>
  <c r="AE11" i="12" s="1"/>
  <c r="P13" i="12"/>
  <c r="P16" i="12"/>
  <c r="S14" i="12" a="1"/>
  <c r="S14" i="12" s="1"/>
  <c r="AE14" i="12" s="1"/>
  <c r="P15" i="12"/>
  <c r="S18" i="12" a="1"/>
  <c r="S18" i="12" s="1"/>
  <c r="AE18" i="12" s="1"/>
  <c r="S17" i="12" a="1"/>
  <c r="S17" i="12" s="1"/>
  <c r="AE17" i="12" s="1"/>
  <c r="P17" i="12"/>
  <c r="P18" i="12"/>
  <c r="P22" i="12"/>
  <c r="P19" i="12"/>
  <c r="P20" i="12"/>
  <c r="P21" i="12"/>
  <c r="P24" i="12"/>
  <c r="P23" i="12"/>
  <c r="S23" i="12" s="1" a="1"/>
  <c r="S23" i="12" s="1"/>
  <c r="AE23" i="12" s="1"/>
  <c r="S27" i="12" a="1"/>
  <c r="S27" i="12" s="1"/>
  <c r="AE27" i="12" s="1"/>
  <c r="P26" i="12"/>
  <c r="S26" i="12" a="1"/>
  <c r="S26" i="12" s="1"/>
  <c r="AE26" i="12" s="1"/>
  <c r="P25" i="12"/>
  <c r="S25" i="12" s="1" a="1"/>
  <c r="S25" i="12" s="1"/>
  <c r="AE25" i="12" s="1"/>
  <c r="P29" i="12"/>
  <c r="P27" i="12"/>
  <c r="P28" i="12"/>
  <c r="S28" i="12" s="1" a="1"/>
  <c r="S28" i="12" s="1"/>
  <c r="AE28" i="12" s="1"/>
  <c r="P30" i="12"/>
  <c r="P35" i="12"/>
  <c r="S34" i="12" a="1"/>
  <c r="S34" i="12" s="1"/>
  <c r="AE34" i="12" s="1"/>
  <c r="S35" i="12" a="1"/>
  <c r="S35" i="12" s="1"/>
  <c r="AE35" i="12" s="1"/>
  <c r="P32" i="12"/>
  <c r="P31" i="12"/>
  <c r="P33" i="12"/>
  <c r="P37" i="12"/>
  <c r="P34" i="12"/>
  <c r="S37" i="12" a="1"/>
  <c r="S37" i="12" s="1"/>
  <c r="AE37" i="12" s="1"/>
  <c r="P36" i="12"/>
  <c r="P38" i="12"/>
  <c r="S38" i="12" a="1"/>
  <c r="S38" i="12" s="1"/>
  <c r="AE38" i="12" s="1"/>
  <c r="P39" i="12"/>
  <c r="S39" i="12" s="1" a="1"/>
  <c r="S39" i="12" s="1"/>
  <c r="AE39" i="12" s="1"/>
  <c r="P41" i="12"/>
  <c r="P40" i="12"/>
  <c r="S40" i="12" s="1" a="1"/>
  <c r="S40" i="12" s="1"/>
  <c r="AE40" i="12" s="1"/>
  <c r="S42" i="12" a="1"/>
  <c r="S42" i="12" s="1"/>
  <c r="AE42" i="12" s="1"/>
  <c r="S44" i="12" a="1"/>
  <c r="S44" i="12" s="1"/>
  <c r="AE44" i="12" s="1"/>
  <c r="P42" i="12"/>
  <c r="P46" i="12"/>
  <c r="P43" i="12"/>
  <c r="P44" i="12"/>
  <c r="S43" i="12" a="1"/>
  <c r="S43" i="12" s="1"/>
  <c r="AE43" i="12" s="1"/>
  <c r="P45" i="12"/>
  <c r="P51" i="12"/>
  <c r="P49" i="12"/>
  <c r="P50" i="12"/>
  <c r="S50" i="12" s="1" a="1"/>
  <c r="S50" i="12" s="1"/>
  <c r="AE50" i="12" s="1"/>
  <c r="O48" i="12"/>
  <c r="S49" i="12" a="1"/>
  <c r="S49" i="12" s="1"/>
  <c r="AE49" i="12" s="1"/>
  <c r="N53" i="12"/>
  <c r="Q5" i="12" a="1"/>
  <c r="Q5" i="12" s="1"/>
  <c r="N4" i="12"/>
  <c r="Q4" i="12" s="1" a="1"/>
  <c r="Q4" i="12" s="1"/>
  <c r="N5" i="12"/>
  <c r="N6" i="12"/>
  <c r="Q6" i="12" a="1"/>
  <c r="Q6" i="12" s="1"/>
  <c r="N8" i="12"/>
  <c r="Q8" i="12" s="1" a="1"/>
  <c r="Q8" i="12" s="1"/>
  <c r="N7" i="12"/>
  <c r="Q10" i="12" a="1"/>
  <c r="Q10" i="12" s="1"/>
  <c r="N11" i="12"/>
  <c r="Q11" i="12" a="1"/>
  <c r="Q11" i="12" s="1"/>
  <c r="N9" i="12"/>
  <c r="Q9" i="12" s="1" a="1"/>
  <c r="Q9" i="12" s="1"/>
  <c r="Q13" i="12" a="1"/>
  <c r="Q13" i="12" s="1"/>
  <c r="Q14" i="12" a="1"/>
  <c r="Q14" i="12" s="1"/>
  <c r="N10" i="12"/>
  <c r="N17" i="12"/>
  <c r="N13" i="12"/>
  <c r="N12" i="12"/>
  <c r="N15" i="12"/>
  <c r="Q15" i="12" s="1" a="1"/>
  <c r="Q15" i="12" s="1"/>
  <c r="N14" i="12"/>
  <c r="Q18" i="12" a="1"/>
  <c r="Q18" i="12" s="1"/>
  <c r="N16" i="12"/>
  <c r="Q19" i="12" a="1"/>
  <c r="Q19" i="12" s="1"/>
  <c r="N21" i="12"/>
  <c r="N19" i="12"/>
  <c r="Q21" i="12" a="1"/>
  <c r="Q21" i="12" s="1"/>
  <c r="N18" i="12"/>
  <c r="N20" i="12"/>
  <c r="Q24" i="12" a="1"/>
  <c r="Q24" i="12" s="1"/>
  <c r="N25" i="12"/>
  <c r="Q25" i="12" s="1" a="1"/>
  <c r="Q25" i="12" s="1"/>
  <c r="N24" i="12"/>
  <c r="N23" i="12"/>
  <c r="Q26" i="12" a="1"/>
  <c r="Q26" i="12" s="1"/>
  <c r="N22" i="12"/>
  <c r="Q28" i="12" a="1"/>
  <c r="Q28" i="12" s="1"/>
  <c r="N26" i="12"/>
  <c r="N28" i="12"/>
  <c r="N27" i="12"/>
  <c r="Q27" i="12" s="1" a="1"/>
  <c r="Q27" i="12" s="1"/>
  <c r="N29" i="12"/>
  <c r="N30" i="12"/>
  <c r="N31" i="12"/>
  <c r="Q31" i="12" s="1" a="1"/>
  <c r="Q31" i="12" s="1"/>
  <c r="N33" i="12"/>
  <c r="N32" i="12"/>
  <c r="Q32" i="12" s="1" a="1"/>
  <c r="Q32" i="12" s="1"/>
  <c r="Q33" i="12" a="1"/>
  <c r="Q33" i="12" s="1"/>
  <c r="N34" i="12"/>
  <c r="Q35" i="12" a="1"/>
  <c r="Q35" i="12" s="1"/>
  <c r="N35" i="12"/>
  <c r="N37" i="12"/>
  <c r="N36" i="12"/>
  <c r="Q36" i="12" s="1" a="1"/>
  <c r="Q36" i="12" s="1"/>
  <c r="N40" i="12"/>
  <c r="N38" i="12"/>
  <c r="Q38" i="12" a="1"/>
  <c r="Q38" i="12" s="1"/>
  <c r="N39" i="12"/>
  <c r="N41" i="12"/>
  <c r="N43" i="12"/>
  <c r="N42" i="12"/>
  <c r="N48" i="12"/>
  <c r="N47" i="12"/>
  <c r="N44" i="12"/>
  <c r="N46" i="12"/>
  <c r="N45" i="12"/>
  <c r="P48" i="12"/>
  <c r="S48" i="12" s="1" a="1"/>
  <c r="S48" i="12" s="1"/>
  <c r="AE48" i="12" s="1"/>
  <c r="O52" i="12"/>
  <c r="O51" i="12"/>
  <c r="V51" i="12" s="1"/>
  <c r="R54" i="12" a="1"/>
  <c r="R54" i="12" s="1"/>
  <c r="AC54" i="12" s="1"/>
  <c r="S52" i="12" a="1"/>
  <c r="S52" i="12" s="1"/>
  <c r="AE52" i="12" s="1"/>
  <c r="R49" i="12" a="1"/>
  <c r="R49" i="12" s="1"/>
  <c r="AC49" i="12" s="1"/>
  <c r="AD49" i="12" s="1"/>
  <c r="S47" i="12" a="1"/>
  <c r="S47" i="12" s="1"/>
  <c r="AE47" i="12" s="1"/>
  <c r="AF47" i="12" s="1"/>
  <c r="R48" i="12" a="1"/>
  <c r="R48" i="12" s="1"/>
  <c r="AC48" i="12" s="1"/>
  <c r="O46" i="12"/>
  <c r="S54" i="12" a="1"/>
  <c r="S54" i="12" s="1"/>
  <c r="AE54" i="12" s="1"/>
  <c r="P52" i="12"/>
  <c r="R51" i="12" a="1"/>
  <c r="R51" i="12" s="1"/>
  <c r="AC51" i="12" s="1"/>
  <c r="K13" i="6"/>
  <c r="I13" i="6"/>
  <c r="J13" i="6"/>
  <c r="L13" i="6"/>
  <c r="M13" i="6"/>
  <c r="H14" i="6"/>
  <c r="AF52" i="13" l="1"/>
  <c r="V51" i="14"/>
  <c r="AA46" i="14"/>
  <c r="AA52" i="14"/>
  <c r="AA51" i="14"/>
  <c r="Z47" i="14"/>
  <c r="Y47" i="14" s="1"/>
  <c r="V47" i="14"/>
  <c r="AD31" i="14"/>
  <c r="V45" i="14"/>
  <c r="Z45" i="14"/>
  <c r="Y45" i="14" s="1"/>
  <c r="V35" i="14"/>
  <c r="Z35" i="14"/>
  <c r="Y35" i="14" s="1"/>
  <c r="V28" i="14"/>
  <c r="Z28" i="14"/>
  <c r="Y28" i="14" s="1"/>
  <c r="V18" i="14"/>
  <c r="Z18" i="14"/>
  <c r="Y18" i="14" s="1"/>
  <c r="Z16" i="14"/>
  <c r="Y16" i="14" s="1"/>
  <c r="AA16" i="14" s="1"/>
  <c r="V16" i="14"/>
  <c r="V12" i="14"/>
  <c r="Z12" i="14"/>
  <c r="Y12" i="14" s="1"/>
  <c r="AA12" i="14" s="1"/>
  <c r="V53" i="14"/>
  <c r="Z53" i="14"/>
  <c r="Y53" i="14" s="1"/>
  <c r="AF42" i="14"/>
  <c r="AF7" i="14"/>
  <c r="AD22" i="14"/>
  <c r="R51" i="14" a="1"/>
  <c r="R51" i="14" s="1"/>
  <c r="AC51" i="14" s="1"/>
  <c r="AF48" i="14"/>
  <c r="S24" i="14" a="1"/>
  <c r="S24" i="14" s="1"/>
  <c r="AE24" i="14" s="1"/>
  <c r="AF24" i="14" s="1"/>
  <c r="AF9" i="14"/>
  <c r="AF6" i="14"/>
  <c r="R52" i="14" a="1"/>
  <c r="R52" i="14" s="1"/>
  <c r="AC52" i="14" s="1"/>
  <c r="AD52" i="14" s="1"/>
  <c r="AD40" i="14"/>
  <c r="R31" i="14" a="1"/>
  <c r="R31" i="14" s="1"/>
  <c r="AC31" i="14" s="1"/>
  <c r="R16" i="14" a="1"/>
  <c r="R16" i="14" s="1"/>
  <c r="AC16" i="14" s="1"/>
  <c r="AD16" i="14" s="1"/>
  <c r="Z54" i="14"/>
  <c r="Y54" i="14" s="1"/>
  <c r="V54" i="14"/>
  <c r="V41" i="14"/>
  <c r="Z41" i="14"/>
  <c r="Y41" i="14" s="1"/>
  <c r="Z36" i="14"/>
  <c r="Y36" i="14" s="1"/>
  <c r="AA36" i="14" s="1"/>
  <c r="V36" i="14"/>
  <c r="Z23" i="14"/>
  <c r="Y23" i="14" s="1"/>
  <c r="V23" i="14"/>
  <c r="Q23" i="14" a="1"/>
  <c r="Q23" i="14" s="1"/>
  <c r="Z15" i="14"/>
  <c r="Y15" i="14" s="1"/>
  <c r="AA15" i="14" s="1"/>
  <c r="V15" i="14"/>
  <c r="V5" i="14"/>
  <c r="Z5" i="14"/>
  <c r="Y5" i="14" s="1"/>
  <c r="V43" i="14"/>
  <c r="Z43" i="14"/>
  <c r="Y43" i="14" s="1"/>
  <c r="Z31" i="14"/>
  <c r="Y31" i="14" s="1"/>
  <c r="V31" i="14"/>
  <c r="V27" i="14"/>
  <c r="Z27" i="14"/>
  <c r="Y27" i="14" s="1"/>
  <c r="V24" i="14"/>
  <c r="Z24" i="14"/>
  <c r="Y24" i="14" s="1"/>
  <c r="Z14" i="14"/>
  <c r="Y14" i="14" s="1"/>
  <c r="V14" i="14"/>
  <c r="AF37" i="14"/>
  <c r="R54" i="14" a="1"/>
  <c r="R54" i="14" s="1"/>
  <c r="AC54" i="14" s="1"/>
  <c r="AD54" i="14" s="1"/>
  <c r="AF16" i="14"/>
  <c r="AD8" i="14"/>
  <c r="AD4" i="14"/>
  <c r="R18" i="14" a="1"/>
  <c r="R18" i="14" s="1"/>
  <c r="AC18" i="14" s="1"/>
  <c r="AD18" i="14" s="1"/>
  <c r="V44" i="14"/>
  <c r="Z44" i="14"/>
  <c r="Y44" i="14" s="1"/>
  <c r="Z30" i="14"/>
  <c r="Y30" i="14" s="1"/>
  <c r="V30" i="14"/>
  <c r="Z26" i="14"/>
  <c r="Y26" i="14" s="1"/>
  <c r="V26" i="14"/>
  <c r="Z21" i="14"/>
  <c r="Y21" i="14" s="1"/>
  <c r="V21" i="14"/>
  <c r="V19" i="14"/>
  <c r="Z19" i="14"/>
  <c r="Y19" i="14" s="1"/>
  <c r="Z7" i="14"/>
  <c r="Y7" i="14" s="1"/>
  <c r="AA7" i="14" s="1"/>
  <c r="V7" i="14"/>
  <c r="AD29" i="14"/>
  <c r="V40" i="14"/>
  <c r="Z40" i="14"/>
  <c r="Y40" i="14" s="1"/>
  <c r="Z34" i="14"/>
  <c r="Y34" i="14" s="1"/>
  <c r="V34" i="14"/>
  <c r="V32" i="14"/>
  <c r="Z32" i="14"/>
  <c r="Y32" i="14" s="1"/>
  <c r="AA32" i="14" s="1"/>
  <c r="AG32" i="14" s="1"/>
  <c r="V25" i="14"/>
  <c r="Z25" i="14"/>
  <c r="Y25" i="14" s="1"/>
  <c r="Q24" i="14" a="1"/>
  <c r="Q24" i="14" s="1"/>
  <c r="V11" i="14"/>
  <c r="Z11" i="14"/>
  <c r="Y11" i="14" s="1"/>
  <c r="Z6" i="14"/>
  <c r="Y6" i="14" s="1"/>
  <c r="V6" i="14"/>
  <c r="V50" i="14"/>
  <c r="Z50" i="14"/>
  <c r="Y50" i="14" s="1"/>
  <c r="S47" i="14" a="1"/>
  <c r="S47" i="14" s="1"/>
  <c r="AE47" i="14" s="1"/>
  <c r="AF47" i="14" s="1"/>
  <c r="AD34" i="14"/>
  <c r="S54" i="14" a="1"/>
  <c r="S54" i="14" s="1"/>
  <c r="AE54" i="14" s="1"/>
  <c r="AF54" i="14" s="1"/>
  <c r="AF41" i="14"/>
  <c r="AF34" i="14"/>
  <c r="AF20" i="14"/>
  <c r="R38" i="14" a="1"/>
  <c r="R38" i="14" s="1"/>
  <c r="AC38" i="14" s="1"/>
  <c r="AD38" i="14" s="1"/>
  <c r="S40" i="14" a="1"/>
  <c r="S40" i="14" s="1"/>
  <c r="AE40" i="14" s="1"/>
  <c r="AF40" i="14" s="1"/>
  <c r="AF51" i="14"/>
  <c r="AF33" i="14"/>
  <c r="AF28" i="14"/>
  <c r="AF26" i="14"/>
  <c r="AF19" i="14"/>
  <c r="AF17" i="14"/>
  <c r="S8" i="14" a="1"/>
  <c r="S8" i="14" s="1"/>
  <c r="AE8" i="14" s="1"/>
  <c r="AF8" i="14" s="1"/>
  <c r="AA49" i="14"/>
  <c r="AG49" i="14" s="1"/>
  <c r="AD39" i="14"/>
  <c r="AD28" i="14"/>
  <c r="R26" i="14" a="1"/>
  <c r="R26" i="14" s="1"/>
  <c r="AC26" i="14" s="1"/>
  <c r="AD26" i="14" s="1"/>
  <c r="AD21" i="14"/>
  <c r="R15" i="14" a="1"/>
  <c r="R15" i="14" s="1"/>
  <c r="AC15" i="14" s="1"/>
  <c r="AD15" i="14" s="1"/>
  <c r="AD11" i="14"/>
  <c r="R9" i="14" a="1"/>
  <c r="R9" i="14" s="1"/>
  <c r="AC9" i="14" s="1"/>
  <c r="AD9" i="14" s="1"/>
  <c r="AD53" i="14"/>
  <c r="R41" i="14" a="1"/>
  <c r="R41" i="14" s="1"/>
  <c r="AC41" i="14" s="1"/>
  <c r="AD41" i="14" s="1"/>
  <c r="V42" i="14"/>
  <c r="Z42" i="14"/>
  <c r="Y42" i="14" s="1"/>
  <c r="Q35" i="14" a="1"/>
  <c r="Q35" i="14" s="1"/>
  <c r="Q34" i="14" a="1"/>
  <c r="Q34" i="14" s="1"/>
  <c r="Q25" i="14" a="1"/>
  <c r="Q25" i="14" s="1"/>
  <c r="Q21" i="14" a="1"/>
  <c r="Q21" i="14" s="1"/>
  <c r="Z17" i="14"/>
  <c r="Y17" i="14" s="1"/>
  <c r="V17" i="14"/>
  <c r="V13" i="14"/>
  <c r="Z13" i="14"/>
  <c r="Y13" i="14" s="1"/>
  <c r="Z9" i="14"/>
  <c r="Y9" i="14" s="1"/>
  <c r="V9" i="14"/>
  <c r="Q6" i="14" a="1"/>
  <c r="Q6" i="14" s="1"/>
  <c r="R33" i="14" a="1"/>
  <c r="R33" i="14" s="1"/>
  <c r="AC33" i="14" s="1"/>
  <c r="AD33" i="14" s="1"/>
  <c r="S39" i="14" a="1"/>
  <c r="S39" i="14" s="1"/>
  <c r="AE39" i="14" s="1"/>
  <c r="AF39" i="14" s="1"/>
  <c r="AF4" i="14"/>
  <c r="R36" i="14" a="1"/>
  <c r="R36" i="14" s="1"/>
  <c r="AC36" i="14" s="1"/>
  <c r="AD36" i="14" s="1"/>
  <c r="S38" i="14" a="1"/>
  <c r="S38" i="14" s="1"/>
  <c r="AE38" i="14" s="1"/>
  <c r="AF38" i="14" s="1"/>
  <c r="AF32" i="14"/>
  <c r="S31" i="14" a="1"/>
  <c r="S31" i="14" s="1"/>
  <c r="AE31" i="14" s="1"/>
  <c r="AF31" i="14" s="1"/>
  <c r="AF23" i="14"/>
  <c r="S21" i="14" a="1"/>
  <c r="S21" i="14" s="1"/>
  <c r="AE21" i="14" s="1"/>
  <c r="AF21" i="14" s="1"/>
  <c r="S18" i="14" a="1"/>
  <c r="S18" i="14" s="1"/>
  <c r="AE18" i="14" s="1"/>
  <c r="AF18" i="14" s="1"/>
  <c r="AF11" i="14"/>
  <c r="S6" i="14" a="1"/>
  <c r="S6" i="14" s="1"/>
  <c r="AE6" i="14" s="1"/>
  <c r="AF5" i="14"/>
  <c r="AD43" i="14"/>
  <c r="AD32" i="14"/>
  <c r="AD23" i="14"/>
  <c r="AD20" i="14"/>
  <c r="AD14" i="14"/>
  <c r="R12" i="14" a="1"/>
  <c r="R12" i="14" s="1"/>
  <c r="AC12" i="14" s="1"/>
  <c r="AD12" i="14" s="1"/>
  <c r="R10" i="14" a="1"/>
  <c r="R10" i="14" s="1"/>
  <c r="AC10" i="14" s="1"/>
  <c r="AD10" i="14" s="1"/>
  <c r="AD49" i="14"/>
  <c r="V39" i="14"/>
  <c r="Z39" i="14"/>
  <c r="Y39" i="14" s="1"/>
  <c r="Z33" i="14"/>
  <c r="Y33" i="14" s="1"/>
  <c r="AA33" i="14" s="1"/>
  <c r="V33" i="14"/>
  <c r="Z29" i="14"/>
  <c r="Y29" i="14" s="1"/>
  <c r="V29" i="14"/>
  <c r="Q27" i="14" a="1"/>
  <c r="Q27" i="14" s="1"/>
  <c r="V20" i="14"/>
  <c r="Z20" i="14"/>
  <c r="Y20" i="14" s="1"/>
  <c r="Q18" i="14" a="1"/>
  <c r="Q18" i="14" s="1"/>
  <c r="V10" i="14"/>
  <c r="Z10" i="14"/>
  <c r="Y10" i="14" s="1"/>
  <c r="Z8" i="14"/>
  <c r="Y8" i="14" s="1"/>
  <c r="V8" i="14"/>
  <c r="V4" i="14"/>
  <c r="X4" i="14" s="1"/>
  <c r="Z4" i="14"/>
  <c r="Y4" i="14" s="1"/>
  <c r="AF45" i="14"/>
  <c r="AF27" i="14"/>
  <c r="AF44" i="14"/>
  <c r="AF12" i="14"/>
  <c r="AD51" i="14"/>
  <c r="S30" i="14" a="1"/>
  <c r="S30" i="14" s="1"/>
  <c r="AE30" i="14" s="1"/>
  <c r="AF30" i="14" s="1"/>
  <c r="S13" i="14" a="1"/>
  <c r="S13" i="14" s="1"/>
  <c r="AE13" i="14" s="1"/>
  <c r="AF13" i="14" s="1"/>
  <c r="R46" i="14" a="1"/>
  <c r="R46" i="14" s="1"/>
  <c r="AC46" i="14" s="1"/>
  <c r="AD46" i="14" s="1"/>
  <c r="AD24" i="14"/>
  <c r="AD6" i="14"/>
  <c r="AF43" i="14"/>
  <c r="AF36" i="14"/>
  <c r="S35" i="14" a="1"/>
  <c r="S35" i="14" s="1"/>
  <c r="AE35" i="14" s="1"/>
  <c r="AF35" i="14" s="1"/>
  <c r="S29" i="14" a="1"/>
  <c r="S29" i="14" s="1"/>
  <c r="AE29" i="14" s="1"/>
  <c r="AF29" i="14" s="1"/>
  <c r="AF25" i="14"/>
  <c r="AF22" i="14"/>
  <c r="AF15" i="14"/>
  <c r="S14" i="14" a="1"/>
  <c r="S14" i="14" s="1"/>
  <c r="AE14" i="14" s="1"/>
  <c r="AF14" i="14" s="1"/>
  <c r="S10" i="14" a="1"/>
  <c r="S10" i="14" s="1"/>
  <c r="AE10" i="14" s="1"/>
  <c r="AF10" i="14" s="1"/>
  <c r="S53" i="14" a="1"/>
  <c r="S53" i="14" s="1"/>
  <c r="AE53" i="14" s="1"/>
  <c r="AF53" i="14" s="1"/>
  <c r="AF52" i="14"/>
  <c r="AD42" i="14"/>
  <c r="R35" i="14" a="1"/>
  <c r="R35" i="14" s="1"/>
  <c r="AC35" i="14" s="1"/>
  <c r="AD35" i="14" s="1"/>
  <c r="AD30" i="14"/>
  <c r="AD27" i="14"/>
  <c r="R25" i="14" a="1"/>
  <c r="R25" i="14" s="1"/>
  <c r="AC25" i="14" s="1"/>
  <c r="AD25" i="14" s="1"/>
  <c r="AD19" i="14"/>
  <c r="R17" i="14" a="1"/>
  <c r="R17" i="14" s="1"/>
  <c r="AC17" i="14" s="1"/>
  <c r="AD17" i="14" s="1"/>
  <c r="AD13" i="14"/>
  <c r="AD5" i="14"/>
  <c r="AF50" i="14"/>
  <c r="R37" i="14" a="1"/>
  <c r="R37" i="14" s="1"/>
  <c r="AC37" i="14" s="1"/>
  <c r="AD37" i="14" s="1"/>
  <c r="R7" i="14" a="1"/>
  <c r="R7" i="14" s="1"/>
  <c r="AC7" i="14" s="1"/>
  <c r="AD7" i="14" s="1"/>
  <c r="Z48" i="14"/>
  <c r="Y48" i="14" s="1"/>
  <c r="V48" i="14"/>
  <c r="Z37" i="14"/>
  <c r="Y37" i="14" s="1"/>
  <c r="AA37" i="14" s="1"/>
  <c r="V37" i="14"/>
  <c r="V38" i="14"/>
  <c r="Z38" i="14"/>
  <c r="Y38" i="14" s="1"/>
  <c r="Q31" i="14" a="1"/>
  <c r="Q31" i="14" s="1"/>
  <c r="Q26" i="14" a="1"/>
  <c r="Q26" i="14" s="1"/>
  <c r="Z22" i="14"/>
  <c r="Y22" i="14" s="1"/>
  <c r="AA22" i="14" s="1"/>
  <c r="AG22" i="14" s="1"/>
  <c r="V22" i="14"/>
  <c r="S51" i="13" a="1"/>
  <c r="S51" i="13" s="1"/>
  <c r="AE51" i="13" s="1"/>
  <c r="AF51" i="13" s="1"/>
  <c r="Y48" i="13"/>
  <c r="V37" i="13"/>
  <c r="Z37" i="13"/>
  <c r="Y37" i="13" s="1"/>
  <c r="R20" i="13" a="1"/>
  <c r="R20" i="13" s="1"/>
  <c r="AC20" i="13" s="1"/>
  <c r="AD20" i="13" s="1"/>
  <c r="AF38" i="13"/>
  <c r="AD19" i="13"/>
  <c r="AD5" i="13"/>
  <c r="AF44" i="13"/>
  <c r="AF13" i="13"/>
  <c r="AF12" i="13"/>
  <c r="Z40" i="13"/>
  <c r="Y40" i="13"/>
  <c r="V40" i="13"/>
  <c r="Q37" i="13" a="1"/>
  <c r="Q37" i="13" s="1"/>
  <c r="V31" i="13"/>
  <c r="Z31" i="13"/>
  <c r="Y31" i="13" s="1"/>
  <c r="V26" i="13"/>
  <c r="Z26" i="13"/>
  <c r="Y26" i="13" s="1"/>
  <c r="AA26" i="13" s="1"/>
  <c r="V21" i="13"/>
  <c r="Z21" i="13"/>
  <c r="Y21" i="13" s="1"/>
  <c r="Z19" i="13"/>
  <c r="Y19" i="13" s="1"/>
  <c r="V19" i="13"/>
  <c r="AD54" i="13"/>
  <c r="V45" i="13"/>
  <c r="Z45" i="13"/>
  <c r="Y45" i="13" s="1"/>
  <c r="Z41" i="13"/>
  <c r="Y41" i="13" s="1"/>
  <c r="V41" i="13"/>
  <c r="V30" i="13"/>
  <c r="Z30" i="13"/>
  <c r="Y30" i="13" s="1"/>
  <c r="V25" i="13"/>
  <c r="Z25" i="13"/>
  <c r="Y25" i="13" s="1"/>
  <c r="V20" i="13"/>
  <c r="Z20" i="13"/>
  <c r="Y20" i="13" s="1"/>
  <c r="Z10" i="13"/>
  <c r="Y10" i="13" s="1"/>
  <c r="V10" i="13"/>
  <c r="V4" i="13"/>
  <c r="X4" i="13" s="1"/>
  <c r="Z4" i="13"/>
  <c r="Y4" i="13" s="1"/>
  <c r="V14" i="13"/>
  <c r="Z14" i="13"/>
  <c r="Y14" i="13" s="1"/>
  <c r="V5" i="13"/>
  <c r="Z5" i="13"/>
  <c r="Y5" i="13" s="1"/>
  <c r="AA5" i="13" s="1"/>
  <c r="V51" i="13"/>
  <c r="Z51" i="13"/>
  <c r="Y51" i="13"/>
  <c r="Q4" i="13" a="1"/>
  <c r="Q4" i="13" s="1"/>
  <c r="AD45" i="13"/>
  <c r="Z18" i="13"/>
  <c r="Y18" i="13" s="1"/>
  <c r="AA18" i="13" s="1"/>
  <c r="V18" i="13"/>
  <c r="Z15" i="13"/>
  <c r="Y15" i="13" s="1"/>
  <c r="V15" i="13"/>
  <c r="V11" i="13"/>
  <c r="Z11" i="13"/>
  <c r="Y11" i="13" s="1"/>
  <c r="Z9" i="13"/>
  <c r="Y9" i="13" s="1"/>
  <c r="V9" i="13"/>
  <c r="V53" i="13"/>
  <c r="Z53" i="13"/>
  <c r="Y53" i="13" s="1"/>
  <c r="AF50" i="13"/>
  <c r="Z54" i="13"/>
  <c r="Y54" i="13" s="1"/>
  <c r="V54" i="13"/>
  <c r="S35" i="13" a="1"/>
  <c r="S35" i="13" s="1"/>
  <c r="AE35" i="13" s="1"/>
  <c r="AF35" i="13" s="1"/>
  <c r="V52" i="13"/>
  <c r="Z52" i="13"/>
  <c r="Y52" i="13" s="1"/>
  <c r="Q15" i="13" a="1"/>
  <c r="Q15" i="13" s="1"/>
  <c r="AF23" i="13"/>
  <c r="Z27" i="13"/>
  <c r="Y27" i="13" s="1"/>
  <c r="AA27" i="13" s="1"/>
  <c r="V27" i="13"/>
  <c r="AD26" i="13"/>
  <c r="V44" i="13"/>
  <c r="Z44" i="13"/>
  <c r="Y44" i="13" s="1"/>
  <c r="AD35" i="13"/>
  <c r="Z49" i="13"/>
  <c r="Y49" i="13" s="1"/>
  <c r="V49" i="13"/>
  <c r="Z34" i="13"/>
  <c r="Y34" i="13" s="1"/>
  <c r="V34" i="13"/>
  <c r="V12" i="13"/>
  <c r="Z12" i="13"/>
  <c r="Y12" i="13" s="1"/>
  <c r="AA12" i="13" s="1"/>
  <c r="AG12" i="13" s="1"/>
  <c r="R47" i="13" a="1"/>
  <c r="R47" i="13" s="1"/>
  <c r="AC47" i="13" s="1"/>
  <c r="AD47" i="13" s="1"/>
  <c r="R40" i="13" a="1"/>
  <c r="R40" i="13" s="1"/>
  <c r="AC40" i="13" s="1"/>
  <c r="AD40" i="13" s="1"/>
  <c r="AD36" i="13"/>
  <c r="AD30" i="13"/>
  <c r="R28" i="13" a="1"/>
  <c r="R28" i="13" s="1"/>
  <c r="AC28" i="13" s="1"/>
  <c r="AD28" i="13" s="1"/>
  <c r="AD23" i="13"/>
  <c r="R18" i="13" a="1"/>
  <c r="R18" i="13" s="1"/>
  <c r="AC18" i="13" s="1"/>
  <c r="AD18" i="13" s="1"/>
  <c r="AD6" i="13"/>
  <c r="AF47" i="13"/>
  <c r="AF41" i="13"/>
  <c r="AF28" i="13"/>
  <c r="AF24" i="13"/>
  <c r="AF17" i="13"/>
  <c r="AF14" i="13"/>
  <c r="AF7" i="13"/>
  <c r="V46" i="13"/>
  <c r="Z46" i="13"/>
  <c r="Y46" i="13" s="1"/>
  <c r="Z35" i="13"/>
  <c r="Y35" i="13" s="1"/>
  <c r="V35" i="13"/>
  <c r="Z28" i="13"/>
  <c r="Y28" i="13" s="1"/>
  <c r="V28" i="13"/>
  <c r="Z24" i="13"/>
  <c r="Y24" i="13" s="1"/>
  <c r="AA24" i="13" s="1"/>
  <c r="AG24" i="13" s="1"/>
  <c r="V24" i="13"/>
  <c r="Q21" i="13" a="1"/>
  <c r="Q21" i="13" s="1"/>
  <c r="Z17" i="13"/>
  <c r="V17" i="13"/>
  <c r="Y17" i="13"/>
  <c r="AA17" i="13" s="1"/>
  <c r="AG17" i="13" s="1"/>
  <c r="AF48" i="13"/>
  <c r="S54" i="13" a="1"/>
  <c r="S54" i="13" s="1"/>
  <c r="AE54" i="13" s="1"/>
  <c r="AF54" i="13" s="1"/>
  <c r="S29" i="13" a="1"/>
  <c r="S29" i="13" s="1"/>
  <c r="AE29" i="13" s="1"/>
  <c r="AF29" i="13" s="1"/>
  <c r="R8" i="13" a="1"/>
  <c r="R8" i="13" s="1"/>
  <c r="AC8" i="13" s="1"/>
  <c r="AD8" i="13" s="1"/>
  <c r="V48" i="13"/>
  <c r="AD7" i="13"/>
  <c r="Z47" i="13"/>
  <c r="Y47" i="13" s="1"/>
  <c r="V47" i="13"/>
  <c r="AD13" i="13"/>
  <c r="V50" i="13"/>
  <c r="Z50" i="13"/>
  <c r="Y50" i="13" s="1"/>
  <c r="AF37" i="13"/>
  <c r="V33" i="13"/>
  <c r="Z33" i="13"/>
  <c r="Y33" i="13" s="1"/>
  <c r="AD27" i="13"/>
  <c r="AD24" i="13"/>
  <c r="AD14" i="13"/>
  <c r="S30" i="13" a="1"/>
  <c r="S30" i="13" s="1"/>
  <c r="AE30" i="13" s="1"/>
  <c r="AF30" i="13" s="1"/>
  <c r="S15" i="13" a="1"/>
  <c r="S15" i="13" s="1"/>
  <c r="AE15" i="13" s="1"/>
  <c r="AF15" i="13" s="1"/>
  <c r="V38" i="13"/>
  <c r="Z38" i="13"/>
  <c r="Y38" i="13" s="1"/>
  <c r="Z23" i="13"/>
  <c r="Y23" i="13" s="1"/>
  <c r="V23" i="13"/>
  <c r="R46" i="13" a="1"/>
  <c r="R46" i="13" s="1"/>
  <c r="AC46" i="13" s="1"/>
  <c r="AD46" i="13" s="1"/>
  <c r="AD38" i="13"/>
  <c r="R37" i="13" a="1"/>
  <c r="R37" i="13" s="1"/>
  <c r="AC37" i="13" s="1"/>
  <c r="AD37" i="13" s="1"/>
  <c r="R32" i="13" a="1"/>
  <c r="R32" i="13" s="1"/>
  <c r="AC32" i="13" s="1"/>
  <c r="AD32" i="13" s="1"/>
  <c r="AD25" i="13"/>
  <c r="AD22" i="13"/>
  <c r="AD16" i="13"/>
  <c r="AD4" i="13"/>
  <c r="AF45" i="13"/>
  <c r="S43" i="13" a="1"/>
  <c r="S43" i="13" s="1"/>
  <c r="AE43" i="13" s="1"/>
  <c r="AF43" i="13" s="1"/>
  <c r="S39" i="13" a="1"/>
  <c r="S39" i="13" s="1"/>
  <c r="AE39" i="13" s="1"/>
  <c r="AF39" i="13" s="1"/>
  <c r="S32" i="13" a="1"/>
  <c r="S32" i="13" s="1"/>
  <c r="AE32" i="13" s="1"/>
  <c r="AF32" i="13" s="1"/>
  <c r="S26" i="13" a="1"/>
  <c r="S26" i="13" s="1"/>
  <c r="AE26" i="13" s="1"/>
  <c r="AF26" i="13" s="1"/>
  <c r="S25" i="13" a="1"/>
  <c r="S25" i="13" s="1"/>
  <c r="AE25" i="13" s="1"/>
  <c r="AF25" i="13" s="1"/>
  <c r="S19" i="13" a="1"/>
  <c r="S19" i="13" s="1"/>
  <c r="AE19" i="13" s="1"/>
  <c r="AF19" i="13" s="1"/>
  <c r="AF18" i="13"/>
  <c r="AF10" i="13"/>
  <c r="AF8" i="13"/>
  <c r="S5" i="13" a="1"/>
  <c r="S5" i="13" s="1"/>
  <c r="AE5" i="13" s="1"/>
  <c r="AF5" i="13" s="1"/>
  <c r="V43" i="13"/>
  <c r="Z43" i="13"/>
  <c r="Y43" i="13" s="1"/>
  <c r="V36" i="13"/>
  <c r="Z36" i="13"/>
  <c r="Y36" i="13" s="1"/>
  <c r="Z29" i="13"/>
  <c r="Y29" i="13"/>
  <c r="AA29" i="13" s="1"/>
  <c r="V29" i="13"/>
  <c r="Q31" i="13" a="1"/>
  <c r="Q31" i="13" s="1"/>
  <c r="Z22" i="13"/>
  <c r="Y22" i="13" s="1"/>
  <c r="V22" i="13"/>
  <c r="Q23" i="13" a="1"/>
  <c r="Q23" i="13" s="1"/>
  <c r="V16" i="13"/>
  <c r="Z16" i="13"/>
  <c r="Y16" i="13" s="1"/>
  <c r="Z8" i="13"/>
  <c r="Y8" i="13"/>
  <c r="AA8" i="13" s="1"/>
  <c r="V8" i="13"/>
  <c r="V6" i="13"/>
  <c r="Z6" i="13"/>
  <c r="Y6" i="13" s="1"/>
  <c r="AF46" i="13"/>
  <c r="S27" i="13" a="1"/>
  <c r="S27" i="13" s="1"/>
  <c r="AE27" i="13" s="1"/>
  <c r="AF27" i="13" s="1"/>
  <c r="R44" i="13" a="1"/>
  <c r="R44" i="13" s="1"/>
  <c r="AC44" i="13" s="1"/>
  <c r="AD44" i="13" s="1"/>
  <c r="R11" i="13" a="1"/>
  <c r="R11" i="13" s="1"/>
  <c r="AC11" i="13" s="1"/>
  <c r="AD11" i="13" s="1"/>
  <c r="AA48" i="13"/>
  <c r="AG48" i="13" s="1"/>
  <c r="AF20" i="13"/>
  <c r="R42" i="13" a="1"/>
  <c r="R42" i="13" s="1"/>
  <c r="AC42" i="13" s="1"/>
  <c r="AD42" i="13" s="1"/>
  <c r="AD15" i="13"/>
  <c r="AD53" i="13"/>
  <c r="AF36" i="13"/>
  <c r="V39" i="13"/>
  <c r="Z39" i="13"/>
  <c r="Y39" i="13" s="1"/>
  <c r="AD41" i="13"/>
  <c r="AF21" i="13"/>
  <c r="AF6" i="13"/>
  <c r="AD33" i="13"/>
  <c r="AF33" i="13"/>
  <c r="S11" i="13" a="1"/>
  <c r="S11" i="13" s="1"/>
  <c r="AE11" i="13" s="1"/>
  <c r="AF11" i="13" s="1"/>
  <c r="R43" i="13" a="1"/>
  <c r="R43" i="13" s="1"/>
  <c r="AC43" i="13" s="1"/>
  <c r="AD43" i="13" s="1"/>
  <c r="AD39" i="13"/>
  <c r="AD34" i="13"/>
  <c r="R31" i="13" a="1"/>
  <c r="R31" i="13" s="1"/>
  <c r="AC31" i="13" s="1"/>
  <c r="AD31" i="13" s="1"/>
  <c r="R29" i="13" a="1"/>
  <c r="R29" i="13" s="1"/>
  <c r="AC29" i="13" s="1"/>
  <c r="AD29" i="13" s="1"/>
  <c r="AD21" i="13"/>
  <c r="AD17" i="13"/>
  <c r="AD12" i="13"/>
  <c r="AD10" i="13"/>
  <c r="AF42" i="13"/>
  <c r="AF40" i="13"/>
  <c r="AF34" i="13"/>
  <c r="S31" i="13" a="1"/>
  <c r="S31" i="13" s="1"/>
  <c r="AE31" i="13" s="1"/>
  <c r="AF31" i="13" s="1"/>
  <c r="AF22" i="13"/>
  <c r="S16" i="13" a="1"/>
  <c r="S16" i="13" s="1"/>
  <c r="AE16" i="13" s="1"/>
  <c r="AF16" i="13" s="1"/>
  <c r="S9" i="13" a="1"/>
  <c r="S9" i="13" s="1"/>
  <c r="AE9" i="13" s="1"/>
  <c r="AF9" i="13" s="1"/>
  <c r="S53" i="13" a="1"/>
  <c r="S53" i="13" s="1"/>
  <c r="AE53" i="13" s="1"/>
  <c r="AF53" i="13" s="1"/>
  <c r="Z42" i="13"/>
  <c r="Y42" i="13" s="1"/>
  <c r="V42" i="13"/>
  <c r="Z32" i="13"/>
  <c r="Y32" i="13" s="1"/>
  <c r="V32" i="13"/>
  <c r="Q35" i="13" a="1"/>
  <c r="Q35" i="13" s="1"/>
  <c r="Q30" i="13" a="1"/>
  <c r="Q30" i="13" s="1"/>
  <c r="Q25" i="13" a="1"/>
  <c r="Q25" i="13" s="1"/>
  <c r="Q19" i="13" a="1"/>
  <c r="Q19" i="13" s="1"/>
  <c r="V13" i="13"/>
  <c r="Z13" i="13"/>
  <c r="Y13" i="13" s="1"/>
  <c r="Q9" i="13" a="1"/>
  <c r="Q9" i="13" s="1"/>
  <c r="Z7" i="13"/>
  <c r="Y7" i="13" s="1"/>
  <c r="V7" i="13"/>
  <c r="S4" i="13" a="1"/>
  <c r="S4" i="13" s="1"/>
  <c r="AE4" i="13" s="1"/>
  <c r="AF4" i="13" s="1"/>
  <c r="Q36" i="13" a="1"/>
  <c r="Q36" i="13" s="1"/>
  <c r="R9" i="13" a="1"/>
  <c r="R9" i="13" s="1"/>
  <c r="AC9" i="13" s="1"/>
  <c r="AD9" i="13" s="1"/>
  <c r="AA31" i="12"/>
  <c r="AG31" i="12" s="1"/>
  <c r="AA15" i="12"/>
  <c r="AG15" i="12" s="1"/>
  <c r="AA49" i="12"/>
  <c r="AG49" i="12" s="1"/>
  <c r="V17" i="12"/>
  <c r="Y17" i="12"/>
  <c r="Z17" i="12"/>
  <c r="AF17" i="12"/>
  <c r="AD23" i="12"/>
  <c r="AD17" i="12"/>
  <c r="AF52" i="12"/>
  <c r="V44" i="12"/>
  <c r="Y44" i="12"/>
  <c r="Z44" i="12"/>
  <c r="V38" i="12"/>
  <c r="Z38" i="12"/>
  <c r="Y38" i="12" s="1"/>
  <c r="Z18" i="12"/>
  <c r="Y18" i="12" s="1"/>
  <c r="V18" i="12"/>
  <c r="V16" i="12"/>
  <c r="Z16" i="12"/>
  <c r="Y16" i="12"/>
  <c r="Z10" i="12"/>
  <c r="Y10" i="12"/>
  <c r="V10" i="12"/>
  <c r="AF49" i="12"/>
  <c r="AF42" i="12"/>
  <c r="AF38" i="12"/>
  <c r="S31" i="12" a="1"/>
  <c r="S31" i="12" s="1"/>
  <c r="AE31" i="12" s="1"/>
  <c r="AF31" i="12" s="1"/>
  <c r="AF26" i="12"/>
  <c r="S20" i="12" a="1"/>
  <c r="S20" i="12" s="1"/>
  <c r="AE20" i="12" s="1"/>
  <c r="AF20" i="12" s="1"/>
  <c r="AF13" i="12"/>
  <c r="AD45" i="12"/>
  <c r="AD41" i="12"/>
  <c r="AD35" i="12"/>
  <c r="AD28" i="12"/>
  <c r="AD20" i="12"/>
  <c r="AD18" i="12"/>
  <c r="AD10" i="12"/>
  <c r="AD54" i="12"/>
  <c r="V29" i="12"/>
  <c r="Y29" i="12"/>
  <c r="Z29" i="12"/>
  <c r="V52" i="12"/>
  <c r="Y52" i="12"/>
  <c r="Z52" i="12"/>
  <c r="AD44" i="12"/>
  <c r="R37" i="12" a="1"/>
  <c r="R37" i="12" s="1"/>
  <c r="AC37" i="12" s="1"/>
  <c r="AD37" i="12" s="1"/>
  <c r="AD29" i="12"/>
  <c r="AD12" i="12"/>
  <c r="AD11" i="12"/>
  <c r="AD53" i="12"/>
  <c r="Q16" i="12" a="1"/>
  <c r="Q16" i="12" s="1"/>
  <c r="AA16" i="12" s="1"/>
  <c r="AF54" i="12"/>
  <c r="AD9" i="12"/>
  <c r="AD5" i="12"/>
  <c r="R50" i="12" a="1"/>
  <c r="R50" i="12" s="1"/>
  <c r="AC50" i="12" s="1"/>
  <c r="AD50" i="12" s="1"/>
  <c r="Z20" i="12"/>
  <c r="Y20" i="12" s="1"/>
  <c r="V20" i="12"/>
  <c r="S46" i="12" a="1"/>
  <c r="S46" i="12" s="1"/>
  <c r="AE46" i="12" s="1"/>
  <c r="AF46" i="12" s="1"/>
  <c r="AF27" i="12"/>
  <c r="V49" i="12"/>
  <c r="Z34" i="12"/>
  <c r="V34" i="12"/>
  <c r="Y34" i="12"/>
  <c r="Z30" i="12"/>
  <c r="Y30" i="12"/>
  <c r="V30" i="12"/>
  <c r="V7" i="12"/>
  <c r="Z7" i="12"/>
  <c r="Y7" i="12"/>
  <c r="Q34" i="12" a="1"/>
  <c r="Q34" i="12" s="1"/>
  <c r="AA34" i="12" s="1"/>
  <c r="AG34" i="12" s="1"/>
  <c r="V22" i="12"/>
  <c r="Z22" i="12"/>
  <c r="Y22" i="12"/>
  <c r="Z8" i="12"/>
  <c r="Y8" i="12" s="1"/>
  <c r="V8" i="12"/>
  <c r="Q7" i="12" a="1"/>
  <c r="Q7" i="12" s="1"/>
  <c r="AA7" i="12" s="1"/>
  <c r="AG7" i="12" s="1"/>
  <c r="AF12" i="12"/>
  <c r="Z37" i="12"/>
  <c r="Y37" i="12" s="1"/>
  <c r="V37" i="12"/>
  <c r="V23" i="12"/>
  <c r="Z23" i="12"/>
  <c r="Y23" i="12" s="1"/>
  <c r="V15" i="12"/>
  <c r="Y15" i="12"/>
  <c r="Z15" i="12"/>
  <c r="S5" i="12" a="1"/>
  <c r="S5" i="12" s="1"/>
  <c r="AE5" i="12" s="1"/>
  <c r="AF5" i="12" s="1"/>
  <c r="AD38" i="12"/>
  <c r="AD46" i="12"/>
  <c r="V43" i="12"/>
  <c r="Z43" i="12"/>
  <c r="Y43" i="12" s="1"/>
  <c r="Q37" i="12" a="1"/>
  <c r="Q37" i="12" s="1"/>
  <c r="V33" i="12"/>
  <c r="Z33" i="12"/>
  <c r="Y33" i="12" s="1"/>
  <c r="Q30" i="12" a="1"/>
  <c r="Q30" i="12" s="1"/>
  <c r="V24" i="12"/>
  <c r="Y24" i="12"/>
  <c r="Z24" i="12"/>
  <c r="Z21" i="12"/>
  <c r="Y21" i="12"/>
  <c r="V21" i="12"/>
  <c r="Z12" i="12"/>
  <c r="Y12" i="12" s="1"/>
  <c r="V12" i="12"/>
  <c r="V6" i="12"/>
  <c r="Z6" i="12"/>
  <c r="Y6" i="12" s="1"/>
  <c r="AD48" i="12"/>
  <c r="AF44" i="12"/>
  <c r="AF35" i="12"/>
  <c r="S30" i="12" a="1"/>
  <c r="S30" i="12" s="1"/>
  <c r="AE30" i="12" s="1"/>
  <c r="AF30" i="12" s="1"/>
  <c r="S15" i="12" a="1"/>
  <c r="S15" i="12" s="1"/>
  <c r="AE15" i="12" s="1"/>
  <c r="AF15" i="12" s="1"/>
  <c r="AF10" i="12"/>
  <c r="AF8" i="12"/>
  <c r="AD42" i="12"/>
  <c r="AD40" i="12"/>
  <c r="AD31" i="12"/>
  <c r="R23" i="12" a="1"/>
  <c r="R23" i="12" s="1"/>
  <c r="AC23" i="12" s="1"/>
  <c r="AD14" i="12"/>
  <c r="AD8" i="12"/>
  <c r="Z46" i="12"/>
  <c r="Y46" i="12"/>
  <c r="V46" i="12"/>
  <c r="V40" i="12"/>
  <c r="Y40" i="12"/>
  <c r="Z40" i="12"/>
  <c r="AF11" i="12"/>
  <c r="Q22" i="12" a="1"/>
  <c r="Q22" i="12" s="1"/>
  <c r="AA22" i="12" s="1"/>
  <c r="Z14" i="12"/>
  <c r="Y14" i="12" s="1"/>
  <c r="V14" i="12"/>
  <c r="AF23" i="12"/>
  <c r="AD36" i="12"/>
  <c r="Y42" i="12"/>
  <c r="Z42" i="12"/>
  <c r="V42" i="12"/>
  <c r="V28" i="12"/>
  <c r="Z28" i="12"/>
  <c r="Y28" i="12" s="1"/>
  <c r="AF24" i="12"/>
  <c r="R24" i="12" a="1"/>
  <c r="R24" i="12" s="1"/>
  <c r="AC24" i="12" s="1"/>
  <c r="AD24" i="12" s="1"/>
  <c r="AD15" i="12"/>
  <c r="Y50" i="12"/>
  <c r="V50" i="12"/>
  <c r="Z50" i="12"/>
  <c r="AF48" i="12"/>
  <c r="Z41" i="12"/>
  <c r="Y41" i="12"/>
  <c r="V41" i="12"/>
  <c r="Z35" i="12"/>
  <c r="Y35" i="12" s="1"/>
  <c r="V35" i="12"/>
  <c r="Q29" i="12" a="1"/>
  <c r="Q29" i="12" s="1"/>
  <c r="AA29" i="12" s="1"/>
  <c r="AG29" i="12" s="1"/>
  <c r="Z25" i="12"/>
  <c r="V25" i="12"/>
  <c r="Y25" i="12"/>
  <c r="Q23" i="12" a="1"/>
  <c r="Q23" i="12" s="1"/>
  <c r="Q17" i="12" a="1"/>
  <c r="Q17" i="12" s="1"/>
  <c r="Z11" i="12"/>
  <c r="Y11" i="12" s="1"/>
  <c r="V11" i="12"/>
  <c r="V5" i="12"/>
  <c r="Z5" i="12"/>
  <c r="Y5" i="12" s="1"/>
  <c r="S51" i="12" a="1"/>
  <c r="S51" i="12" s="1"/>
  <c r="AE51" i="12" s="1"/>
  <c r="AF51" i="12" s="1"/>
  <c r="AF43" i="12"/>
  <c r="AF34" i="12"/>
  <c r="S32" i="12" a="1"/>
  <c r="S32" i="12" s="1"/>
  <c r="AE32" i="12" s="1"/>
  <c r="AF32" i="12" s="1"/>
  <c r="AF29" i="12"/>
  <c r="S24" i="12" a="1"/>
  <c r="S24" i="12" s="1"/>
  <c r="AE24" i="12" s="1"/>
  <c r="AF18" i="12"/>
  <c r="S16" i="12" a="1"/>
  <c r="S16" i="12" s="1"/>
  <c r="AE16" i="12" s="1"/>
  <c r="AF16" i="12" s="1"/>
  <c r="S9" i="12" a="1"/>
  <c r="S9" i="12" s="1"/>
  <c r="AE9" i="12" s="1"/>
  <c r="AF9" i="12" s="1"/>
  <c r="S6" i="12" a="1"/>
  <c r="S6" i="12" s="1"/>
  <c r="AE6" i="12" s="1"/>
  <c r="AF6" i="12" s="1"/>
  <c r="R47" i="12" a="1"/>
  <c r="R47" i="12" s="1"/>
  <c r="AC47" i="12" s="1"/>
  <c r="AD47" i="12" s="1"/>
  <c r="R45" i="12" a="1"/>
  <c r="R45" i="12" s="1"/>
  <c r="AC45" i="12" s="1"/>
  <c r="R42" i="12" a="1"/>
  <c r="R42" i="12" s="1"/>
  <c r="AC42" i="12" s="1"/>
  <c r="AD33" i="12"/>
  <c r="AD26" i="12"/>
  <c r="AD22" i="12"/>
  <c r="AD16" i="12"/>
  <c r="AD13" i="12"/>
  <c r="AD7" i="12"/>
  <c r="AD6" i="12"/>
  <c r="R18" i="12" a="1"/>
  <c r="R18" i="12" s="1"/>
  <c r="AC18" i="12" s="1"/>
  <c r="Z54" i="12"/>
  <c r="Y54" i="12"/>
  <c r="V54" i="12"/>
  <c r="AF50" i="12"/>
  <c r="Z47" i="12"/>
  <c r="Y47" i="12" s="1"/>
  <c r="V47" i="12"/>
  <c r="V53" i="12"/>
  <c r="Y53" i="12"/>
  <c r="Z53" i="12"/>
  <c r="AF36" i="12"/>
  <c r="AF28" i="12"/>
  <c r="Z48" i="12"/>
  <c r="Y48" i="12"/>
  <c r="V48" i="12"/>
  <c r="Z36" i="12"/>
  <c r="Y36" i="12" s="1"/>
  <c r="V36" i="12"/>
  <c r="Z27" i="12"/>
  <c r="Y27" i="12"/>
  <c r="V27" i="12"/>
  <c r="AA13" i="12"/>
  <c r="AG13" i="12" s="1"/>
  <c r="S36" i="12" a="1"/>
  <c r="S36" i="12" s="1"/>
  <c r="AE36" i="12" s="1"/>
  <c r="AF4" i="12"/>
  <c r="AA51" i="12"/>
  <c r="AD51" i="12"/>
  <c r="V32" i="12"/>
  <c r="Z32" i="12"/>
  <c r="Y32" i="12" s="1"/>
  <c r="Z19" i="12"/>
  <c r="Y19" i="12" s="1"/>
  <c r="V19" i="12"/>
  <c r="V9" i="12"/>
  <c r="Y9" i="12"/>
  <c r="AA9" i="12" s="1"/>
  <c r="AG9" i="12" s="1"/>
  <c r="Z9" i="12"/>
  <c r="AF40" i="12"/>
  <c r="S19" i="12" a="1"/>
  <c r="S19" i="12" s="1"/>
  <c r="AE19" i="12" s="1"/>
  <c r="AF19" i="12" s="1"/>
  <c r="R43" i="12" a="1"/>
  <c r="R43" i="12" s="1"/>
  <c r="AC43" i="12" s="1"/>
  <c r="AD43" i="12" s="1"/>
  <c r="AD34" i="12"/>
  <c r="AD25" i="12"/>
  <c r="V45" i="12"/>
  <c r="Z45" i="12"/>
  <c r="Y45" i="12"/>
  <c r="V39" i="12"/>
  <c r="Z39" i="12"/>
  <c r="Y39" i="12" s="1"/>
  <c r="Z31" i="12"/>
  <c r="Y31" i="12"/>
  <c r="V31" i="12"/>
  <c r="Z26" i="12"/>
  <c r="Y26" i="12"/>
  <c r="V26" i="12"/>
  <c r="AA24" i="12"/>
  <c r="Q20" i="12" a="1"/>
  <c r="Q20" i="12" s="1"/>
  <c r="Z13" i="12"/>
  <c r="Y13" i="12"/>
  <c r="V13" i="12"/>
  <c r="AA10" i="12"/>
  <c r="AG10" i="12" s="1"/>
  <c r="Z4" i="12"/>
  <c r="Y4" i="12"/>
  <c r="V4" i="12"/>
  <c r="X4" i="12" s="1"/>
  <c r="R52" i="12" a="1"/>
  <c r="R52" i="12" s="1"/>
  <c r="AC52" i="12" s="1"/>
  <c r="AD52" i="12" s="1"/>
  <c r="S45" i="12" a="1"/>
  <c r="S45" i="12" s="1"/>
  <c r="AE45" i="12" s="1"/>
  <c r="AF45" i="12" s="1"/>
  <c r="AF39" i="12"/>
  <c r="AF37" i="12"/>
  <c r="S33" i="12" a="1"/>
  <c r="S33" i="12" s="1"/>
  <c r="AE33" i="12" s="1"/>
  <c r="AF33" i="12" s="1"/>
  <c r="AF25" i="12"/>
  <c r="S22" i="12" a="1"/>
  <c r="S22" i="12" s="1"/>
  <c r="AE22" i="12" s="1"/>
  <c r="AF22" i="12" s="1"/>
  <c r="S21" i="12" a="1"/>
  <c r="S21" i="12" s="1"/>
  <c r="AE21" i="12" s="1"/>
  <c r="AF21" i="12" s="1"/>
  <c r="AF14" i="12"/>
  <c r="AF7" i="12"/>
  <c r="AF53" i="12"/>
  <c r="R46" i="12" a="1"/>
  <c r="R46" i="12" s="1"/>
  <c r="AC46" i="12" s="1"/>
  <c r="R39" i="12" a="1"/>
  <c r="R39" i="12" s="1"/>
  <c r="AC39" i="12" s="1"/>
  <c r="AD39" i="12" s="1"/>
  <c r="AD32" i="12"/>
  <c r="AD30" i="12"/>
  <c r="AD27" i="12"/>
  <c r="R21" i="12" a="1"/>
  <c r="R21" i="12" s="1"/>
  <c r="AC21" i="12" s="1"/>
  <c r="AD21" i="12" s="1"/>
  <c r="R17" i="12" a="1"/>
  <c r="R17" i="12" s="1"/>
  <c r="AC17" i="12" s="1"/>
  <c r="R12" i="12" a="1"/>
  <c r="R12" i="12" s="1"/>
  <c r="AC12" i="12" s="1"/>
  <c r="R11" i="12" a="1"/>
  <c r="R11" i="12" s="1"/>
  <c r="AC11" i="12" s="1"/>
  <c r="R4" i="12" a="1"/>
  <c r="R4" i="12" s="1"/>
  <c r="AC4" i="12" s="1"/>
  <c r="AD4" i="12" s="1"/>
  <c r="R19" i="12" a="1"/>
  <c r="R19" i="12" s="1"/>
  <c r="AC19" i="12" s="1"/>
  <c r="AD19" i="12" s="1"/>
  <c r="S41" i="12" a="1"/>
  <c r="S41" i="12" s="1"/>
  <c r="AE41" i="12" s="1"/>
  <c r="AF41" i="12" s="1"/>
  <c r="I14" i="6"/>
  <c r="K14" i="6"/>
  <c r="J14" i="6"/>
  <c r="M14" i="6"/>
  <c r="L14" i="6"/>
  <c r="H15" i="6"/>
  <c r="AG27" i="13" l="1"/>
  <c r="AG18" i="13"/>
  <c r="AG33" i="14"/>
  <c r="AG7" i="14"/>
  <c r="AG15" i="14"/>
  <c r="AG37" i="14"/>
  <c r="AG16" i="14"/>
  <c r="AG51" i="14"/>
  <c r="AG52" i="14"/>
  <c r="AG36" i="14"/>
  <c r="AA6" i="14"/>
  <c r="AG6" i="14" s="1"/>
  <c r="AA21" i="14"/>
  <c r="AG21" i="14" s="1"/>
  <c r="AA31" i="14"/>
  <c r="AG31" i="14" s="1"/>
  <c r="AA53" i="14"/>
  <c r="AG53" i="14" s="1"/>
  <c r="AA20" i="14"/>
  <c r="AG20" i="14" s="1"/>
  <c r="AA17" i="14"/>
  <c r="AG17" i="14" s="1"/>
  <c r="AA47" i="14"/>
  <c r="AG47" i="14" s="1"/>
  <c r="AA8" i="14"/>
  <c r="AG8" i="14" s="1"/>
  <c r="AA10" i="14"/>
  <c r="AG10" i="14" s="1"/>
  <c r="AA43" i="14"/>
  <c r="AG43" i="14" s="1"/>
  <c r="AA9" i="14"/>
  <c r="AG9" i="14" s="1"/>
  <c r="AA14" i="14"/>
  <c r="AG14" i="14" s="1"/>
  <c r="AA19" i="14"/>
  <c r="AG19" i="14" s="1"/>
  <c r="AA30" i="14"/>
  <c r="AG30" i="14" s="1"/>
  <c r="AA5" i="14"/>
  <c r="AG5" i="14" s="1"/>
  <c r="AA28" i="14"/>
  <c r="AG28" i="14" s="1"/>
  <c r="AA29" i="14"/>
  <c r="AG29" i="14" s="1"/>
  <c r="AA41" i="14"/>
  <c r="AG41" i="14" s="1"/>
  <c r="AA38" i="14"/>
  <c r="AG38" i="14" s="1"/>
  <c r="AA54" i="14"/>
  <c r="AG54" i="14" s="1"/>
  <c r="AA45" i="14"/>
  <c r="AG45" i="14" s="1"/>
  <c r="AA26" i="14"/>
  <c r="AG26" i="14" s="1"/>
  <c r="AH32" i="14"/>
  <c r="AA18" i="14"/>
  <c r="AG18" i="14" s="1"/>
  <c r="AA27" i="14"/>
  <c r="AG27" i="14" s="1"/>
  <c r="AB32" i="14"/>
  <c r="AG12" i="14"/>
  <c r="AA39" i="14"/>
  <c r="AG39" i="14" s="1"/>
  <c r="AA42" i="14"/>
  <c r="AG42" i="14" s="1"/>
  <c r="AA50" i="14"/>
  <c r="AG50" i="14" s="1"/>
  <c r="AB36" i="14"/>
  <c r="AH36" i="14" s="1"/>
  <c r="AB15" i="14"/>
  <c r="AH15" i="14" s="1"/>
  <c r="AB16" i="14"/>
  <c r="AH16" i="14" s="1"/>
  <c r="AB51" i="14"/>
  <c r="AH51" i="14" s="1"/>
  <c r="AA24" i="14"/>
  <c r="AG24" i="14" s="1"/>
  <c r="AB52" i="14"/>
  <c r="AH52" i="14" s="1"/>
  <c r="AB7" i="14"/>
  <c r="AH7" i="14" s="1"/>
  <c r="AG46" i="14"/>
  <c r="AB22" i="14"/>
  <c r="AH22" i="14" s="1"/>
  <c r="AJ4" i="14"/>
  <c r="AI4" i="14"/>
  <c r="T5" i="14"/>
  <c r="U5" i="14" s="1"/>
  <c r="AA34" i="14"/>
  <c r="AG34" i="14" s="1"/>
  <c r="AA40" i="14"/>
  <c r="AG40" i="14" s="1"/>
  <c r="AA44" i="14"/>
  <c r="AG44" i="14" s="1"/>
  <c r="AB46" i="14"/>
  <c r="AH46" i="14" s="1"/>
  <c r="AA4" i="14"/>
  <c r="AG4" i="14" s="1"/>
  <c r="AA48" i="14"/>
  <c r="AG48" i="14" s="1"/>
  <c r="AA25" i="14"/>
  <c r="AG25" i="14" s="1"/>
  <c r="AA13" i="14"/>
  <c r="AG13" i="14" s="1"/>
  <c r="AA35" i="14"/>
  <c r="AG35" i="14" s="1"/>
  <c r="AB49" i="14"/>
  <c r="AH49" i="14" s="1"/>
  <c r="AB12" i="14"/>
  <c r="AH12" i="14" s="1"/>
  <c r="AA11" i="14"/>
  <c r="AG11" i="14" s="1"/>
  <c r="AB37" i="14"/>
  <c r="AH37" i="14" s="1"/>
  <c r="AB33" i="14"/>
  <c r="AH33" i="14" s="1"/>
  <c r="AA23" i="14"/>
  <c r="AG23" i="14" s="1"/>
  <c r="AG5" i="13"/>
  <c r="AA4" i="13"/>
  <c r="AB4" i="13" s="1"/>
  <c r="AH4" i="13" s="1"/>
  <c r="AG29" i="13"/>
  <c r="AA36" i="13"/>
  <c r="AG36" i="13" s="1"/>
  <c r="AG8" i="13"/>
  <c r="AB48" i="13"/>
  <c r="AH48" i="13" s="1"/>
  <c r="AA35" i="13"/>
  <c r="AG35" i="13" s="1"/>
  <c r="AA14" i="13"/>
  <c r="AG14" i="13" s="1"/>
  <c r="AA16" i="13"/>
  <c r="AG16" i="13" s="1"/>
  <c r="AA52" i="13"/>
  <c r="AG52" i="13" s="1"/>
  <c r="AA50" i="13"/>
  <c r="AG50" i="13" s="1"/>
  <c r="AA13" i="13"/>
  <c r="AG13" i="13" s="1"/>
  <c r="AA22" i="13"/>
  <c r="AG22" i="13" s="1"/>
  <c r="AA46" i="13"/>
  <c r="AG46" i="13" s="1"/>
  <c r="AA41" i="13"/>
  <c r="AG41" i="13" s="1"/>
  <c r="AA34" i="13"/>
  <c r="AG34" i="13" s="1"/>
  <c r="AA10" i="13"/>
  <c r="AG10" i="13" s="1"/>
  <c r="AA32" i="13"/>
  <c r="AG32" i="13" s="1"/>
  <c r="AA42" i="13"/>
  <c r="AG42" i="13" s="1"/>
  <c r="AA39" i="13"/>
  <c r="AG39" i="13" s="1"/>
  <c r="AA45" i="13"/>
  <c r="AG45" i="13" s="1"/>
  <c r="AA11" i="13"/>
  <c r="AG11" i="13" s="1"/>
  <c r="AA6" i="13"/>
  <c r="AG6" i="13" s="1"/>
  <c r="AA30" i="13"/>
  <c r="AG30" i="13" s="1"/>
  <c r="AA7" i="13"/>
  <c r="AG7" i="13" s="1"/>
  <c r="AB24" i="13"/>
  <c r="AH24" i="13" s="1"/>
  <c r="AA15" i="13"/>
  <c r="AG15" i="13" s="1"/>
  <c r="AA37" i="13"/>
  <c r="AG37" i="13" s="1"/>
  <c r="AB18" i="13"/>
  <c r="AH18" i="13" s="1"/>
  <c r="AA19" i="13"/>
  <c r="AG19" i="13" s="1"/>
  <c r="AB12" i="13"/>
  <c r="AH12" i="13" s="1"/>
  <c r="AB29" i="13"/>
  <c r="AH29" i="13" s="1"/>
  <c r="AA47" i="13"/>
  <c r="AG47" i="13" s="1"/>
  <c r="AA21" i="13"/>
  <c r="AG21" i="13" s="1"/>
  <c r="AB27" i="13"/>
  <c r="AH27" i="13" s="1"/>
  <c r="AG4" i="13"/>
  <c r="AA31" i="13"/>
  <c r="AG31" i="13" s="1"/>
  <c r="AA49" i="13"/>
  <c r="AG49" i="13" s="1"/>
  <c r="AG26" i="13"/>
  <c r="AA28" i="13"/>
  <c r="AG28" i="13" s="1"/>
  <c r="AA9" i="13"/>
  <c r="AG9" i="13" s="1"/>
  <c r="AA23" i="13"/>
  <c r="AG23" i="13" s="1"/>
  <c r="AA44" i="13"/>
  <c r="AG44" i="13" s="1"/>
  <c r="AA54" i="13"/>
  <c r="AG54" i="13" s="1"/>
  <c r="AA51" i="13"/>
  <c r="AG51" i="13" s="1"/>
  <c r="AA33" i="13"/>
  <c r="AG33" i="13" s="1"/>
  <c r="AB26" i="13"/>
  <c r="AH26" i="13" s="1"/>
  <c r="AA40" i="13"/>
  <c r="AG40" i="13" s="1"/>
  <c r="AA20" i="13"/>
  <c r="AG20" i="13" s="1"/>
  <c r="AB8" i="13"/>
  <c r="AH8" i="13" s="1"/>
  <c r="AA43" i="13"/>
  <c r="AG43" i="13" s="1"/>
  <c r="AB17" i="13"/>
  <c r="AH17" i="13" s="1"/>
  <c r="AB5" i="13"/>
  <c r="AH5" i="13" s="1"/>
  <c r="AA25" i="13"/>
  <c r="AG25" i="13" s="1"/>
  <c r="AA53" i="13"/>
  <c r="AG53" i="13" s="1"/>
  <c r="AJ4" i="13"/>
  <c r="AI4" i="13"/>
  <c r="AK4" i="13" s="1"/>
  <c r="T5" i="13"/>
  <c r="U5" i="13" s="1"/>
  <c r="AA38" i="13"/>
  <c r="AG38" i="13" s="1"/>
  <c r="AA18" i="12"/>
  <c r="AG18" i="12" s="1"/>
  <c r="AH22" i="12"/>
  <c r="AB36" i="12"/>
  <c r="AA36" i="12"/>
  <c r="AG36" i="12" s="1"/>
  <c r="AB37" i="12"/>
  <c r="AH37" i="12" s="1"/>
  <c r="AA47" i="12"/>
  <c r="AG47" i="12" s="1"/>
  <c r="AB28" i="12"/>
  <c r="AH28" i="12" s="1"/>
  <c r="AA28" i="12"/>
  <c r="AG28" i="12" s="1"/>
  <c r="AA14" i="12"/>
  <c r="AG14" i="12" s="1"/>
  <c r="AA19" i="12"/>
  <c r="AG19" i="12" s="1"/>
  <c r="AA5" i="12"/>
  <c r="AG5" i="12" s="1"/>
  <c r="AA11" i="12"/>
  <c r="AG11" i="12" s="1"/>
  <c r="AB20" i="12"/>
  <c r="AH20" i="12" s="1"/>
  <c r="AB6" i="12"/>
  <c r="AH6" i="12" s="1"/>
  <c r="AA6" i="12"/>
  <c r="AG6" i="12" s="1"/>
  <c r="AA12" i="12"/>
  <c r="AG12" i="12" s="1"/>
  <c r="AB32" i="12"/>
  <c r="AH32" i="12" s="1"/>
  <c r="AA32" i="12"/>
  <c r="AG32" i="12" s="1"/>
  <c r="AA8" i="12"/>
  <c r="AG8" i="12" s="1"/>
  <c r="AA35" i="12"/>
  <c r="AG35" i="12" s="1"/>
  <c r="AA38" i="12"/>
  <c r="AG38" i="12" s="1"/>
  <c r="AB33" i="12"/>
  <c r="AH33" i="12" s="1"/>
  <c r="AA33" i="12"/>
  <c r="AG33" i="12" s="1"/>
  <c r="AA39" i="12"/>
  <c r="AG39" i="12" s="1"/>
  <c r="AB43" i="12"/>
  <c r="AH43" i="12" s="1"/>
  <c r="AA43" i="12"/>
  <c r="AG43" i="12" s="1"/>
  <c r="AA20" i="12"/>
  <c r="AG20" i="12" s="1"/>
  <c r="AG51" i="12"/>
  <c r="AH36" i="12"/>
  <c r="AB50" i="12"/>
  <c r="AH50" i="12" s="1"/>
  <c r="AA50" i="12"/>
  <c r="AG50" i="12" s="1"/>
  <c r="AA40" i="12"/>
  <c r="AG40" i="12" s="1"/>
  <c r="AB22" i="12"/>
  <c r="AA44" i="12"/>
  <c r="AG44" i="12" s="1"/>
  <c r="AJ4" i="12"/>
  <c r="AI4" i="12"/>
  <c r="AK4" i="12" s="1"/>
  <c r="AO4" i="12" s="1"/>
  <c r="T5" i="12"/>
  <c r="U5" i="12" s="1"/>
  <c r="AG24" i="12"/>
  <c r="AB51" i="12"/>
  <c r="AH51" i="12" s="1"/>
  <c r="AA17" i="12"/>
  <c r="AG17" i="12" s="1"/>
  <c r="AA30" i="12"/>
  <c r="AG30" i="12" s="1"/>
  <c r="AG16" i="12"/>
  <c r="AB34" i="12"/>
  <c r="AB52" i="12"/>
  <c r="AH52" i="12" s="1"/>
  <c r="AA52" i="12"/>
  <c r="AG52" i="12" s="1"/>
  <c r="AH49" i="12"/>
  <c r="AB7" i="12"/>
  <c r="AH7" i="12" s="1"/>
  <c r="AB10" i="12"/>
  <c r="AB49" i="12"/>
  <c r="AG22" i="12"/>
  <c r="AB54" i="12"/>
  <c r="AH54" i="12" s="1"/>
  <c r="AA54" i="12"/>
  <c r="AG54" i="12" s="1"/>
  <c r="AB41" i="12"/>
  <c r="AH41" i="12" s="1"/>
  <c r="AA41" i="12"/>
  <c r="AG41" i="12" s="1"/>
  <c r="AH29" i="12"/>
  <c r="AA37" i="12"/>
  <c r="AG37" i="12" s="1"/>
  <c r="AA25" i="12"/>
  <c r="AG25" i="12" s="1"/>
  <c r="AB4" i="12"/>
  <c r="AH4" i="12" s="1"/>
  <c r="AA46" i="12"/>
  <c r="AG46" i="12" s="1"/>
  <c r="AB13" i="12"/>
  <c r="AH13" i="12" s="1"/>
  <c r="AB31" i="12"/>
  <c r="AH31" i="12" s="1"/>
  <c r="AB9" i="12"/>
  <c r="AH9" i="12" s="1"/>
  <c r="AH10" i="12"/>
  <c r="AB29" i="12"/>
  <c r="AB16" i="12"/>
  <c r="AH16" i="12" s="1"/>
  <c r="AA27" i="12"/>
  <c r="AG27" i="12" s="1"/>
  <c r="AB53" i="12"/>
  <c r="AH53" i="12" s="1"/>
  <c r="AA53" i="12"/>
  <c r="AG53" i="12" s="1"/>
  <c r="AA23" i="12"/>
  <c r="AG23" i="12" s="1"/>
  <c r="AB42" i="12"/>
  <c r="AH42" i="12" s="1"/>
  <c r="AA42" i="12"/>
  <c r="AG42" i="12" s="1"/>
  <c r="AA26" i="12"/>
  <c r="AG26" i="12" s="1"/>
  <c r="AB45" i="12"/>
  <c r="AH45" i="12" s="1"/>
  <c r="AA45" i="12"/>
  <c r="AG45" i="12" s="1"/>
  <c r="AA48" i="12"/>
  <c r="AG48" i="12" s="1"/>
  <c r="AB21" i="12"/>
  <c r="AH21" i="12" s="1"/>
  <c r="AH34" i="12"/>
  <c r="AB24" i="12"/>
  <c r="AH24" i="12" s="1"/>
  <c r="AB15" i="12"/>
  <c r="AH15" i="12" s="1"/>
  <c r="AA21" i="12"/>
  <c r="AG21" i="12" s="1"/>
  <c r="AA4" i="12"/>
  <c r="AG4" i="12" s="1"/>
  <c r="J15" i="6"/>
  <c r="K15" i="6"/>
  <c r="I15" i="6"/>
  <c r="H16" i="6"/>
  <c r="L15" i="6"/>
  <c r="M15" i="6"/>
  <c r="AB28" i="13" l="1"/>
  <c r="AH28" i="13" s="1"/>
  <c r="AB24" i="14"/>
  <c r="AH24" i="14" s="1"/>
  <c r="AB31" i="14"/>
  <c r="AH31" i="14" s="1"/>
  <c r="AB30" i="14"/>
  <c r="AH30" i="14" s="1"/>
  <c r="AB21" i="14"/>
  <c r="AH21" i="14" s="1"/>
  <c r="AB4" i="14"/>
  <c r="AH4" i="14" s="1"/>
  <c r="AB6" i="14"/>
  <c r="AH6" i="14" s="1"/>
  <c r="AB26" i="14"/>
  <c r="AH26" i="14" s="1"/>
  <c r="AB14" i="14"/>
  <c r="AH14" i="14" s="1"/>
  <c r="AB9" i="14"/>
  <c r="AH9" i="14" s="1"/>
  <c r="AB29" i="14"/>
  <c r="AH29" i="14" s="1"/>
  <c r="AB10" i="14"/>
  <c r="AH10" i="14" s="1"/>
  <c r="AB5" i="14"/>
  <c r="AH5" i="14" s="1"/>
  <c r="AB18" i="14"/>
  <c r="AH18" i="14" s="1"/>
  <c r="AB47" i="14"/>
  <c r="AH47" i="14" s="1"/>
  <c r="AB35" i="14"/>
  <c r="AH35" i="14" s="1"/>
  <c r="AB13" i="14"/>
  <c r="AH13" i="14" s="1"/>
  <c r="AB42" i="14"/>
  <c r="AH42" i="14" s="1"/>
  <c r="AB54" i="14"/>
  <c r="AH54" i="14" s="1"/>
  <c r="AB20" i="14"/>
  <c r="AH20" i="14" s="1"/>
  <c r="AB48" i="14"/>
  <c r="AH48" i="14" s="1"/>
  <c r="AB23" i="14"/>
  <c r="AH23" i="14" s="1"/>
  <c r="AB19" i="14"/>
  <c r="AH19" i="14" s="1"/>
  <c r="AB44" i="14"/>
  <c r="AH44" i="14" s="1"/>
  <c r="AB39" i="14"/>
  <c r="AH39" i="14" s="1"/>
  <c r="AB38" i="14"/>
  <c r="AH38" i="14" s="1"/>
  <c r="AM4" i="14"/>
  <c r="AL4" i="14"/>
  <c r="AB50" i="14"/>
  <c r="AH50" i="14" s="1"/>
  <c r="AB11" i="14"/>
  <c r="AH11" i="14" s="1"/>
  <c r="AB28" i="14"/>
  <c r="AH28" i="14" s="1"/>
  <c r="AB34" i="14"/>
  <c r="AH34" i="14" s="1"/>
  <c r="AB8" i="14"/>
  <c r="AH8" i="14" s="1"/>
  <c r="AB40" i="14"/>
  <c r="AH40" i="14" s="1"/>
  <c r="AK4" i="14"/>
  <c r="AB41" i="14"/>
  <c r="AH41" i="14" s="1"/>
  <c r="AB53" i="14"/>
  <c r="AH53" i="14" s="1"/>
  <c r="AB25" i="14"/>
  <c r="AH25" i="14" s="1"/>
  <c r="AN4" i="14"/>
  <c r="AB27" i="14"/>
  <c r="AH27" i="14" s="1"/>
  <c r="AB45" i="14"/>
  <c r="AH45" i="14" s="1"/>
  <c r="AB43" i="14"/>
  <c r="AH43" i="14" s="1"/>
  <c r="AB17" i="14"/>
  <c r="AH17" i="14" s="1"/>
  <c r="AB35" i="13"/>
  <c r="AH35" i="13" s="1"/>
  <c r="AO4" i="13"/>
  <c r="AB50" i="13"/>
  <c r="AH50" i="13" s="1"/>
  <c r="AB51" i="13"/>
  <c r="AH51" i="13" s="1"/>
  <c r="AB45" i="13"/>
  <c r="AH45" i="13" s="1"/>
  <c r="AB23" i="13"/>
  <c r="AH23" i="13" s="1"/>
  <c r="AB30" i="13"/>
  <c r="AH30" i="13" s="1"/>
  <c r="AB16" i="13"/>
  <c r="AH16" i="13" s="1"/>
  <c r="AB19" i="13"/>
  <c r="AH19" i="13" s="1"/>
  <c r="AB10" i="13"/>
  <c r="AH10" i="13" s="1"/>
  <c r="AB49" i="13"/>
  <c r="AH49" i="13" s="1"/>
  <c r="AB36" i="13"/>
  <c r="AH36" i="13" s="1"/>
  <c r="AB46" i="13"/>
  <c r="AH46" i="13" s="1"/>
  <c r="AB34" i="13"/>
  <c r="AH34" i="13" s="1"/>
  <c r="AB21" i="13"/>
  <c r="AH21" i="13" s="1"/>
  <c r="AB22" i="13"/>
  <c r="AH22" i="13" s="1"/>
  <c r="AB39" i="13"/>
  <c r="AH39" i="13" s="1"/>
  <c r="AB52" i="13"/>
  <c r="AH52" i="13" s="1"/>
  <c r="AB31" i="13"/>
  <c r="AH31" i="13" s="1"/>
  <c r="AB33" i="13"/>
  <c r="AH33" i="13" s="1"/>
  <c r="AB42" i="13"/>
  <c r="AH42" i="13" s="1"/>
  <c r="AB41" i="13"/>
  <c r="AH41" i="13" s="1"/>
  <c r="AB9" i="13"/>
  <c r="AH9" i="13" s="1"/>
  <c r="AB43" i="13"/>
  <c r="AH43" i="13" s="1"/>
  <c r="AB6" i="13"/>
  <c r="AH6" i="13" s="1"/>
  <c r="AB20" i="13"/>
  <c r="AH20" i="13" s="1"/>
  <c r="AB44" i="13"/>
  <c r="AH44" i="13" s="1"/>
  <c r="AB11" i="13"/>
  <c r="AH11" i="13" s="1"/>
  <c r="AB15" i="13"/>
  <c r="AH15" i="13" s="1"/>
  <c r="AB13" i="13"/>
  <c r="AH13" i="13" s="1"/>
  <c r="AB14" i="13"/>
  <c r="AH14" i="13" s="1"/>
  <c r="AB37" i="13"/>
  <c r="AH37" i="13" s="1"/>
  <c r="AB53" i="13"/>
  <c r="AH53" i="13" s="1"/>
  <c r="AB40" i="13"/>
  <c r="AH40" i="13" s="1"/>
  <c r="AB7" i="13"/>
  <c r="AH7" i="13" s="1"/>
  <c r="AB54" i="13"/>
  <c r="AH54" i="13" s="1"/>
  <c r="AB47" i="13"/>
  <c r="AH47" i="13" s="1"/>
  <c r="AM4" i="13"/>
  <c r="AL4" i="13"/>
  <c r="AN4" i="13"/>
  <c r="AB38" i="13"/>
  <c r="AH38" i="13" s="1"/>
  <c r="AB25" i="13"/>
  <c r="AH25" i="13" s="1"/>
  <c r="AB32" i="13"/>
  <c r="AH32" i="13" s="1"/>
  <c r="AB46" i="12"/>
  <c r="AH46" i="12" s="1"/>
  <c r="AB25" i="12"/>
  <c r="AH25" i="12" s="1"/>
  <c r="AB44" i="12"/>
  <c r="AH44" i="12" s="1"/>
  <c r="AB23" i="12"/>
  <c r="AH23" i="12" s="1"/>
  <c r="AB8" i="12"/>
  <c r="AH8" i="12" s="1"/>
  <c r="AB5" i="12"/>
  <c r="AH5" i="12" s="1"/>
  <c r="AB14" i="12"/>
  <c r="AH14" i="12" s="1"/>
  <c r="AB48" i="12"/>
  <c r="AH48" i="12" s="1"/>
  <c r="AB40" i="12"/>
  <c r="AH40" i="12" s="1"/>
  <c r="AB11" i="12"/>
  <c r="AH11" i="12" s="1"/>
  <c r="AB26" i="12"/>
  <c r="AH26" i="12" s="1"/>
  <c r="AM4" i="12"/>
  <c r="AL4" i="12"/>
  <c r="AN4" i="12"/>
  <c r="AB30" i="12"/>
  <c r="AH30" i="12" s="1"/>
  <c r="AB39" i="12"/>
  <c r="AH39" i="12" s="1"/>
  <c r="AB35" i="12"/>
  <c r="AH35" i="12" s="1"/>
  <c r="AB12" i="12"/>
  <c r="AH12" i="12" s="1"/>
  <c r="AB47" i="12"/>
  <c r="AH47" i="12" s="1"/>
  <c r="AB18" i="12"/>
  <c r="AH18" i="12" s="1"/>
  <c r="AB38" i="12"/>
  <c r="AH38" i="12" s="1"/>
  <c r="AB19" i="12"/>
  <c r="AH19" i="12" s="1"/>
  <c r="AB27" i="12"/>
  <c r="AH27" i="12" s="1"/>
  <c r="AB17" i="12"/>
  <c r="AH17" i="12" s="1"/>
  <c r="J16" i="6"/>
  <c r="K16" i="6"/>
  <c r="I16" i="6"/>
  <c r="L16" i="6"/>
  <c r="M16" i="6"/>
  <c r="H17" i="6"/>
  <c r="AO4" i="14" l="1"/>
  <c r="AP4" i="14"/>
  <c r="AS4" i="14"/>
  <c r="AP4" i="13"/>
  <c r="AV4" i="13"/>
  <c r="AS4" i="13"/>
  <c r="AV4" i="12"/>
  <c r="AS4" i="12"/>
  <c r="AP4" i="12"/>
  <c r="AQ4" i="12"/>
  <c r="I17" i="6"/>
  <c r="K17" i="6"/>
  <c r="J17" i="6"/>
  <c r="L17" i="6"/>
  <c r="M17" i="6"/>
  <c r="H18" i="6"/>
  <c r="AR4" i="14" l="1"/>
  <c r="AQ4" i="14"/>
  <c r="AT4" i="14" s="1"/>
  <c r="AT4" i="13"/>
  <c r="AU4" i="13" s="1"/>
  <c r="AR4" i="13"/>
  <c r="AW4" i="13"/>
  <c r="AY4" i="13"/>
  <c r="AX4" i="13"/>
  <c r="AZ4" i="13"/>
  <c r="AQ4" i="13"/>
  <c r="AT4" i="12"/>
  <c r="AR4" i="12"/>
  <c r="AU4" i="12"/>
  <c r="AX4" i="12"/>
  <c r="AW4" i="12"/>
  <c r="AZ4" i="12"/>
  <c r="AY4" i="12"/>
  <c r="J18" i="6"/>
  <c r="I18" i="6"/>
  <c r="K18" i="6"/>
  <c r="H19" i="6"/>
  <c r="M18" i="6"/>
  <c r="L18" i="6"/>
  <c r="AU4" i="14" l="1"/>
  <c r="AV4" i="14"/>
  <c r="BA4" i="13"/>
  <c r="W5" i="13" s="1"/>
  <c r="BA4" i="12"/>
  <c r="W5" i="12" s="1"/>
  <c r="J19" i="6"/>
  <c r="I19" i="6"/>
  <c r="K19" i="6"/>
  <c r="H20" i="6"/>
  <c r="L19" i="6"/>
  <c r="M19" i="6"/>
  <c r="AX4" i="14" l="1"/>
  <c r="AW4" i="14"/>
  <c r="X5" i="13"/>
  <c r="X5" i="12"/>
  <c r="K20" i="6"/>
  <c r="I20" i="6"/>
  <c r="J20" i="6"/>
  <c r="H21" i="6"/>
  <c r="M20" i="6"/>
  <c r="L20" i="6"/>
  <c r="AZ4" i="14" l="1"/>
  <c r="AY4" i="14"/>
  <c r="BA4" i="14" s="1"/>
  <c r="W5" i="14" s="1"/>
  <c r="X5" i="14" s="1"/>
  <c r="AI5" i="14" s="1"/>
  <c r="AJ5" i="13"/>
  <c r="AN5" i="13" s="1"/>
  <c r="AI5" i="13"/>
  <c r="T6" i="13"/>
  <c r="U6" i="13" s="1"/>
  <c r="AJ5" i="12"/>
  <c r="AN5" i="12" s="1"/>
  <c r="AI5" i="12"/>
  <c r="T6" i="12"/>
  <c r="U6" i="12" s="1"/>
  <c r="K21" i="6"/>
  <c r="I21" i="6"/>
  <c r="J21" i="6"/>
  <c r="M21" i="6"/>
  <c r="L21" i="6"/>
  <c r="H22" i="6"/>
  <c r="T6" i="14" l="1"/>
  <c r="U6" i="14" s="1"/>
  <c r="AJ5" i="14"/>
  <c r="AN5" i="14" s="1"/>
  <c r="AM5" i="14"/>
  <c r="AK5" i="14"/>
  <c r="AO5" i="14" s="1"/>
  <c r="AM5" i="13"/>
  <c r="AK5" i="13"/>
  <c r="AO5" i="13" s="1"/>
  <c r="AM5" i="12"/>
  <c r="AK5" i="12"/>
  <c r="AO5" i="12" s="1"/>
  <c r="AP5" i="12"/>
  <c r="AT5" i="12" s="1"/>
  <c r="I22" i="6"/>
  <c r="K22" i="6"/>
  <c r="J22" i="6"/>
  <c r="M22" i="6"/>
  <c r="H23" i="6"/>
  <c r="L22" i="6"/>
  <c r="AS5" i="14" l="1"/>
  <c r="AP5" i="14"/>
  <c r="AL5" i="14"/>
  <c r="AL5" i="13"/>
  <c r="AP5" i="13"/>
  <c r="AV5" i="13"/>
  <c r="AS5" i="13"/>
  <c r="AQ5" i="12"/>
  <c r="AR5" i="12"/>
  <c r="AV5" i="12"/>
  <c r="AS5" i="12"/>
  <c r="AU5" i="12" s="1"/>
  <c r="AL5" i="12"/>
  <c r="J23" i="6"/>
  <c r="K23" i="6"/>
  <c r="I23" i="6"/>
  <c r="M23" i="6"/>
  <c r="H24" i="6"/>
  <c r="L23" i="6"/>
  <c r="AQ5" i="14" l="1"/>
  <c r="AT5" i="14" s="1"/>
  <c r="AR5" i="14"/>
  <c r="AX5" i="13"/>
  <c r="AW5" i="13"/>
  <c r="AY5" i="13" s="1"/>
  <c r="AT5" i="13"/>
  <c r="AU5" i="13" s="1"/>
  <c r="AQ5" i="13"/>
  <c r="AR5" i="13"/>
  <c r="AW5" i="12"/>
  <c r="AY5" i="12"/>
  <c r="AZ5" i="12"/>
  <c r="AX5" i="12"/>
  <c r="J24" i="6"/>
  <c r="K24" i="6"/>
  <c r="I24" i="6"/>
  <c r="L24" i="6"/>
  <c r="H25" i="6"/>
  <c r="M24" i="6"/>
  <c r="AU5" i="14" l="1"/>
  <c r="AV5" i="14" s="1"/>
  <c r="AZ5" i="13"/>
  <c r="BA5" i="13" s="1"/>
  <c r="W6" i="13" s="1"/>
  <c r="BA5" i="12"/>
  <c r="W6" i="12" s="1"/>
  <c r="I25" i="6"/>
  <c r="K25" i="6"/>
  <c r="J25" i="6"/>
  <c r="H26" i="6"/>
  <c r="L25" i="6"/>
  <c r="M25" i="6"/>
  <c r="AW5" i="14" l="1"/>
  <c r="AY5" i="14" s="1"/>
  <c r="AX5" i="14"/>
  <c r="AZ5" i="14"/>
  <c r="X6" i="13"/>
  <c r="X6" i="12"/>
  <c r="I26" i="6"/>
  <c r="J26" i="6"/>
  <c r="K26" i="6"/>
  <c r="H27" i="6"/>
  <c r="M26" i="6"/>
  <c r="L26" i="6"/>
  <c r="BA5" i="14" l="1"/>
  <c r="W6" i="14" s="1"/>
  <c r="X6" i="14" s="1"/>
  <c r="AJ6" i="13"/>
  <c r="AN6" i="13" s="1"/>
  <c r="AI6" i="13"/>
  <c r="T7" i="13"/>
  <c r="U7" i="13" s="1"/>
  <c r="AJ6" i="12"/>
  <c r="AN6" i="12" s="1"/>
  <c r="AI6" i="12"/>
  <c r="T7" i="12"/>
  <c r="U7" i="12" s="1"/>
  <c r="J27" i="6"/>
  <c r="I27" i="6"/>
  <c r="K27" i="6"/>
  <c r="H28" i="6"/>
  <c r="L27" i="6"/>
  <c r="M27" i="6"/>
  <c r="AI6" i="14" l="1"/>
  <c r="T7" i="14"/>
  <c r="U7" i="14" s="1"/>
  <c r="AJ6" i="14"/>
  <c r="AN6" i="14" s="1"/>
  <c r="AM6" i="13"/>
  <c r="AK6" i="13"/>
  <c r="AO6" i="13" s="1"/>
  <c r="AM6" i="12"/>
  <c r="AK6" i="12"/>
  <c r="AO6" i="12" s="1"/>
  <c r="AP6" i="12"/>
  <c r="AT6" i="12" s="1"/>
  <c r="K28" i="6"/>
  <c r="I28" i="6"/>
  <c r="J28" i="6"/>
  <c r="M28" i="6"/>
  <c r="H29" i="6"/>
  <c r="L28" i="6"/>
  <c r="AM6" i="14" l="1"/>
  <c r="AK6" i="14"/>
  <c r="AV6" i="13"/>
  <c r="AS6" i="13"/>
  <c r="AP6" i="13"/>
  <c r="AL6" i="13"/>
  <c r="AQ6" i="12"/>
  <c r="AR6" i="12"/>
  <c r="AL6" i="12"/>
  <c r="AV6" i="12"/>
  <c r="AS6" i="12"/>
  <c r="AU6" i="12" s="1"/>
  <c r="K29" i="6"/>
  <c r="I29" i="6"/>
  <c r="J29" i="6"/>
  <c r="H30" i="6"/>
  <c r="L29" i="6"/>
  <c r="M29" i="6"/>
  <c r="AS6" i="14" l="1"/>
  <c r="AO6" i="14"/>
  <c r="AL6" i="14"/>
  <c r="AT6" i="13"/>
  <c r="AQ6" i="13"/>
  <c r="AX6" i="13"/>
  <c r="AW6" i="13"/>
  <c r="AZ6" i="13" s="1"/>
  <c r="AU6" i="13"/>
  <c r="AR6" i="13"/>
  <c r="AW6" i="12"/>
  <c r="AZ6" i="12" s="1"/>
  <c r="AY6" i="12"/>
  <c r="AX6" i="12"/>
  <c r="I30" i="6"/>
  <c r="K30" i="6"/>
  <c r="J30" i="6"/>
  <c r="H31" i="6"/>
  <c r="M30" i="6"/>
  <c r="L30" i="6"/>
  <c r="AP6" i="14" l="1"/>
  <c r="AY6" i="13"/>
  <c r="BA6" i="13" s="1"/>
  <c r="W7" i="13" s="1"/>
  <c r="BA6" i="12"/>
  <c r="W7" i="12" s="1"/>
  <c r="J31" i="6"/>
  <c r="K31" i="6"/>
  <c r="I31" i="6"/>
  <c r="H32" i="6"/>
  <c r="L31" i="6"/>
  <c r="M31" i="6"/>
  <c r="AQ6" i="14" l="1"/>
  <c r="AT6" i="14" s="1"/>
  <c r="AR6" i="14"/>
  <c r="X7" i="13"/>
  <c r="X7" i="12"/>
  <c r="J32" i="6"/>
  <c r="K32" i="6"/>
  <c r="I32" i="6"/>
  <c r="H33" i="6"/>
  <c r="L32" i="6"/>
  <c r="M32" i="6"/>
  <c r="AU6" i="14" l="1"/>
  <c r="AV6" i="14"/>
  <c r="AJ7" i="13"/>
  <c r="AN7" i="13" s="1"/>
  <c r="AI7" i="13"/>
  <c r="T8" i="13"/>
  <c r="U8" i="13" s="1"/>
  <c r="AJ7" i="12"/>
  <c r="AN7" i="12" s="1"/>
  <c r="AI7" i="12"/>
  <c r="T8" i="12"/>
  <c r="U8" i="12" s="1"/>
  <c r="I33" i="6"/>
  <c r="K33" i="6"/>
  <c r="J33" i="6"/>
  <c r="H34" i="6"/>
  <c r="M33" i="6"/>
  <c r="L33" i="6"/>
  <c r="AW6" i="14" l="1"/>
  <c r="AZ6" i="14" s="1"/>
  <c r="AX6" i="14"/>
  <c r="AY6" i="14"/>
  <c r="BA6" i="14" s="1"/>
  <c r="W7" i="14" s="1"/>
  <c r="X7" i="14" s="1"/>
  <c r="AM7" i="13"/>
  <c r="AK7" i="13"/>
  <c r="AO7" i="13" s="1"/>
  <c r="AP7" i="13"/>
  <c r="AT7" i="13" s="1"/>
  <c r="AM7" i="12"/>
  <c r="AK7" i="12"/>
  <c r="AO7" i="12" s="1"/>
  <c r="AP7" i="12" s="1"/>
  <c r="J34" i="6"/>
  <c r="I34" i="6"/>
  <c r="K34" i="6"/>
  <c r="H35" i="6"/>
  <c r="L34" i="6"/>
  <c r="M34" i="6"/>
  <c r="AJ7" i="14" l="1"/>
  <c r="AN7" i="14" s="1"/>
  <c r="T8" i="14"/>
  <c r="U8" i="14" s="1"/>
  <c r="AI7" i="14"/>
  <c r="AR7" i="13"/>
  <c r="AQ7" i="13"/>
  <c r="AV7" i="13"/>
  <c r="AS7" i="13"/>
  <c r="AU7" i="13" s="1"/>
  <c r="AL7" i="13"/>
  <c r="AT7" i="12"/>
  <c r="AQ7" i="12"/>
  <c r="AR7" i="12"/>
  <c r="AV7" i="12"/>
  <c r="AS7" i="12"/>
  <c r="AU7" i="12" s="1"/>
  <c r="AL7" i="12"/>
  <c r="I35" i="6"/>
  <c r="J35" i="6"/>
  <c r="K35" i="6"/>
  <c r="H36" i="6"/>
  <c r="L35" i="6"/>
  <c r="M35" i="6"/>
  <c r="AK7" i="14" l="1"/>
  <c r="AO7" i="14" s="1"/>
  <c r="AM7" i="14"/>
  <c r="AL7" i="14"/>
  <c r="AP7" i="14"/>
  <c r="AQ7" i="14" s="1"/>
  <c r="AX7" i="13"/>
  <c r="AW7" i="13"/>
  <c r="AZ7" i="13" s="1"/>
  <c r="AX7" i="12"/>
  <c r="AW7" i="12"/>
  <c r="AY7" i="12" s="1"/>
  <c r="K36" i="6"/>
  <c r="J36" i="6"/>
  <c r="I36" i="6"/>
  <c r="H37" i="6"/>
  <c r="M36" i="6"/>
  <c r="L36" i="6"/>
  <c r="AT7" i="14" l="1"/>
  <c r="AS7" i="14"/>
  <c r="AR7" i="14"/>
  <c r="AY7" i="13"/>
  <c r="BA7" i="13" s="1"/>
  <c r="W8" i="13" s="1"/>
  <c r="AZ7" i="12"/>
  <c r="BA7" i="12"/>
  <c r="W8" i="12" s="1"/>
  <c r="X8" i="12" s="1"/>
  <c r="I37" i="6"/>
  <c r="K37" i="6"/>
  <c r="J37" i="6"/>
  <c r="H38" i="6"/>
  <c r="L37" i="6"/>
  <c r="M37" i="6"/>
  <c r="AU7" i="14" l="1"/>
  <c r="AV7" i="14"/>
  <c r="X8" i="13"/>
  <c r="AJ8" i="12"/>
  <c r="AN8" i="12" s="1"/>
  <c r="AI8" i="12"/>
  <c r="T9" i="12"/>
  <c r="U9" i="12" s="1"/>
  <c r="I38" i="6"/>
  <c r="K38" i="6"/>
  <c r="J38" i="6"/>
  <c r="H39" i="6"/>
  <c r="M38" i="6"/>
  <c r="L38" i="6"/>
  <c r="AX7" i="14" l="1"/>
  <c r="AW7" i="14"/>
  <c r="AY7" i="14" s="1"/>
  <c r="AZ7" i="14"/>
  <c r="BA7" i="14" s="1"/>
  <c r="W8" i="14" s="1"/>
  <c r="X8" i="14" s="1"/>
  <c r="AJ8" i="13"/>
  <c r="AN8" i="13" s="1"/>
  <c r="AI8" i="13"/>
  <c r="T9" i="13"/>
  <c r="U9" i="13" s="1"/>
  <c r="AM8" i="12"/>
  <c r="AK8" i="12"/>
  <c r="AO8" i="12" s="1"/>
  <c r="Q39" i="6" a="1"/>
  <c r="Q39" i="6" s="1"/>
  <c r="J39" i="6"/>
  <c r="K39" i="6"/>
  <c r="I39" i="6"/>
  <c r="H40" i="6"/>
  <c r="L39" i="6"/>
  <c r="M39" i="6"/>
  <c r="AJ8" i="14" l="1"/>
  <c r="AN8" i="14" s="1"/>
  <c r="AI8" i="14"/>
  <c r="AM8" i="14" s="1"/>
  <c r="AS8" i="14" s="1"/>
  <c r="T9" i="14"/>
  <c r="U9" i="14" s="1"/>
  <c r="AK8" i="14"/>
  <c r="AO8" i="14" s="1"/>
  <c r="AP8" i="14" s="1"/>
  <c r="AQ8" i="14" s="1"/>
  <c r="AM8" i="13"/>
  <c r="AK8" i="13"/>
  <c r="AO8" i="13" s="1"/>
  <c r="AP8" i="13"/>
  <c r="AT8" i="13" s="1"/>
  <c r="AV8" i="12"/>
  <c r="AS8" i="12"/>
  <c r="AL8" i="12"/>
  <c r="AP8" i="12"/>
  <c r="Q40" i="6" a="1"/>
  <c r="Q40" i="6" s="1"/>
  <c r="K40" i="6"/>
  <c r="J40" i="6"/>
  <c r="I40" i="6"/>
  <c r="H41" i="6"/>
  <c r="M40" i="6"/>
  <c r="L40" i="6"/>
  <c r="AR8" i="14" l="1"/>
  <c r="AT8" i="14"/>
  <c r="AU8" i="14" s="1"/>
  <c r="AV8" i="14" s="1"/>
  <c r="AL8" i="14"/>
  <c r="AR8" i="13"/>
  <c r="AV8" i="13"/>
  <c r="AS8" i="13"/>
  <c r="AU8" i="13" s="1"/>
  <c r="AQ8" i="13"/>
  <c r="AL8" i="13"/>
  <c r="AT8" i="12"/>
  <c r="AQ8" i="12"/>
  <c r="AR8" i="12"/>
  <c r="AU8" i="12"/>
  <c r="AX8" i="12"/>
  <c r="AW8" i="12"/>
  <c r="AZ8" i="12"/>
  <c r="AY8" i="12"/>
  <c r="Q41" i="6" a="1"/>
  <c r="Q41" i="6" s="1"/>
  <c r="I41" i="6"/>
  <c r="K41" i="6"/>
  <c r="J41" i="6"/>
  <c r="H42" i="6"/>
  <c r="L41" i="6"/>
  <c r="M41" i="6"/>
  <c r="AX8" i="14" l="1"/>
  <c r="AW8" i="14"/>
  <c r="AY8" i="14" s="1"/>
  <c r="AZ8" i="14"/>
  <c r="BA8" i="14"/>
  <c r="W9" i="14" s="1"/>
  <c r="AX8" i="13"/>
  <c r="AW8" i="13"/>
  <c r="AY8" i="13" s="1"/>
  <c r="AZ8" i="13"/>
  <c r="BA8" i="12"/>
  <c r="W9" i="12" s="1"/>
  <c r="X9" i="12"/>
  <c r="Q42" i="6" a="1"/>
  <c r="Q42" i="6" s="1"/>
  <c r="I42" i="6"/>
  <c r="K42" i="6"/>
  <c r="J42" i="6"/>
  <c r="H43" i="6"/>
  <c r="L42" i="6"/>
  <c r="M42" i="6"/>
  <c r="X9" i="14" l="1"/>
  <c r="BA8" i="13"/>
  <c r="W9" i="13" s="1"/>
  <c r="X9" i="13"/>
  <c r="AJ9" i="12"/>
  <c r="AN9" i="12" s="1"/>
  <c r="AI9" i="12"/>
  <c r="AK9" i="12" s="1"/>
  <c r="AO9" i="12" s="1"/>
  <c r="T10" i="12"/>
  <c r="U10" i="12" s="1"/>
  <c r="Q43" i="6" a="1"/>
  <c r="Q43" i="6" s="1"/>
  <c r="J43" i="6"/>
  <c r="I43" i="6"/>
  <c r="K43" i="6"/>
  <c r="H44" i="6"/>
  <c r="L43" i="6"/>
  <c r="M43" i="6"/>
  <c r="AJ9" i="14" l="1"/>
  <c r="AN9" i="14" s="1"/>
  <c r="AI9" i="14"/>
  <c r="T10" i="14"/>
  <c r="U10" i="14" s="1"/>
  <c r="AJ9" i="13"/>
  <c r="AN9" i="13" s="1"/>
  <c r="AI9" i="13"/>
  <c r="T10" i="13"/>
  <c r="U10" i="13" s="1"/>
  <c r="AL9" i="12"/>
  <c r="AM9" i="12"/>
  <c r="AP9" i="12"/>
  <c r="AT9" i="12" s="1"/>
  <c r="AQ9" i="12"/>
  <c r="Q44" i="6" a="1"/>
  <c r="Q44" i="6" s="1"/>
  <c r="K44" i="6"/>
  <c r="I44" i="6"/>
  <c r="J44" i="6"/>
  <c r="H45" i="6"/>
  <c r="M44" i="6"/>
  <c r="L44" i="6"/>
  <c r="AM9" i="14" l="1"/>
  <c r="AK9" i="14"/>
  <c r="AO9" i="14" s="1"/>
  <c r="AP9" i="14" s="1"/>
  <c r="AM9" i="13"/>
  <c r="AK9" i="13"/>
  <c r="AO9" i="13" s="1"/>
  <c r="AP9" i="13" s="1"/>
  <c r="AV9" i="12"/>
  <c r="AS9" i="12"/>
  <c r="AU9" i="12" s="1"/>
  <c r="AR9" i="12"/>
  <c r="Q45" i="6" a="1"/>
  <c r="Q45" i="6" s="1"/>
  <c r="K45" i="6"/>
  <c r="J45" i="6"/>
  <c r="I45" i="6"/>
  <c r="H46" i="6"/>
  <c r="M45" i="6"/>
  <c r="L45" i="6"/>
  <c r="AQ9" i="14" l="1"/>
  <c r="AT9" i="14" s="1"/>
  <c r="AL9" i="14"/>
  <c r="AR9" i="14"/>
  <c r="AS9" i="14"/>
  <c r="AT9" i="13"/>
  <c r="AQ9" i="13"/>
  <c r="AL9" i="13"/>
  <c r="AR9" i="13"/>
  <c r="AV9" i="13"/>
  <c r="AS9" i="13"/>
  <c r="AX9" i="12"/>
  <c r="AW9" i="12"/>
  <c r="AZ9" i="12" s="1"/>
  <c r="Q46" i="6" a="1"/>
  <c r="Q46" i="6" s="1"/>
  <c r="K46" i="6"/>
  <c r="I46" i="6"/>
  <c r="J46" i="6"/>
  <c r="H47" i="6"/>
  <c r="M46" i="6"/>
  <c r="L46" i="6"/>
  <c r="AU9" i="14" l="1"/>
  <c r="AV9" i="14"/>
  <c r="AW9" i="14" s="1"/>
  <c r="AU9" i="13"/>
  <c r="AX9" i="13"/>
  <c r="AW9" i="13"/>
  <c r="AY9" i="13" s="1"/>
  <c r="AZ9" i="13"/>
  <c r="AY9" i="12"/>
  <c r="BA9" i="12" s="1"/>
  <c r="W10" i="12" s="1"/>
  <c r="Q47" i="6" a="1"/>
  <c r="Q47" i="6" s="1"/>
  <c r="J47" i="6"/>
  <c r="K47" i="6"/>
  <c r="I47" i="6"/>
  <c r="H48" i="6"/>
  <c r="L47" i="6"/>
  <c r="M47" i="6"/>
  <c r="AZ9" i="14" l="1"/>
  <c r="AY9" i="14"/>
  <c r="BA9" i="14" s="1"/>
  <c r="W10" i="14" s="1"/>
  <c r="AX9" i="14"/>
  <c r="X10" i="14"/>
  <c r="BA9" i="13"/>
  <c r="W10" i="13" s="1"/>
  <c r="X10" i="12"/>
  <c r="Q48" i="6" a="1"/>
  <c r="Q48" i="6" s="1"/>
  <c r="J48" i="6"/>
  <c r="K48" i="6"/>
  <c r="I48" i="6"/>
  <c r="H49" i="6"/>
  <c r="M48" i="6"/>
  <c r="L48" i="6"/>
  <c r="AJ10" i="14" l="1"/>
  <c r="AN10" i="14" s="1"/>
  <c r="AI10" i="14"/>
  <c r="T11" i="14"/>
  <c r="U11" i="14" s="1"/>
  <c r="X10" i="13"/>
  <c r="AJ10" i="12"/>
  <c r="AN10" i="12" s="1"/>
  <c r="AI10" i="12"/>
  <c r="T11" i="12"/>
  <c r="U11" i="12" s="1"/>
  <c r="Q49" i="6" a="1"/>
  <c r="Q49" i="6" s="1"/>
  <c r="I49" i="6"/>
  <c r="K49" i="6"/>
  <c r="J49" i="6"/>
  <c r="H50" i="6"/>
  <c r="L49" i="6"/>
  <c r="M49" i="6"/>
  <c r="AM10" i="14" l="1"/>
  <c r="AK10" i="14"/>
  <c r="AO10" i="14" s="1"/>
  <c r="AP10" i="14" s="1"/>
  <c r="AI10" i="13"/>
  <c r="AJ10" i="13"/>
  <c r="AN10" i="13" s="1"/>
  <c r="T11" i="13"/>
  <c r="U11" i="13" s="1"/>
  <c r="AM10" i="12"/>
  <c r="AK10" i="12"/>
  <c r="AO10" i="12" s="1"/>
  <c r="Q50" i="6" a="1"/>
  <c r="Q50" i="6" s="1"/>
  <c r="I50" i="6"/>
  <c r="J50" i="6"/>
  <c r="K50" i="6"/>
  <c r="H51" i="6"/>
  <c r="L50" i="6"/>
  <c r="M50" i="6"/>
  <c r="AQ10" i="14" l="1"/>
  <c r="AT10" i="14" s="1"/>
  <c r="AL10" i="14"/>
  <c r="AR10" i="14"/>
  <c r="AS10" i="14"/>
  <c r="AK10" i="13"/>
  <c r="AO10" i="13" s="1"/>
  <c r="AM10" i="13"/>
  <c r="AL10" i="13"/>
  <c r="AP10" i="12"/>
  <c r="AV10" i="12"/>
  <c r="AS10" i="12"/>
  <c r="AL10" i="12"/>
  <c r="Q51" i="6" a="1"/>
  <c r="Q51" i="6" s="1"/>
  <c r="J51" i="6"/>
  <c r="I51" i="6"/>
  <c r="K51" i="6"/>
  <c r="H52" i="6"/>
  <c r="L51" i="6"/>
  <c r="M51" i="6"/>
  <c r="AU10" i="14" l="1"/>
  <c r="AV10" i="14"/>
  <c r="AW10" i="14" s="1"/>
  <c r="AS10" i="13"/>
  <c r="AP10" i="13"/>
  <c r="AW10" i="12"/>
  <c r="AZ10" i="12" s="1"/>
  <c r="AX10" i="12"/>
  <c r="AT10" i="12"/>
  <c r="AQ10" i="12"/>
  <c r="AU10" i="12"/>
  <c r="AR10" i="12"/>
  <c r="Q52" i="6" a="1"/>
  <c r="Q52" i="6" s="1"/>
  <c r="K52" i="6"/>
  <c r="I52" i="6"/>
  <c r="J52" i="6"/>
  <c r="H53" i="6"/>
  <c r="M52" i="6"/>
  <c r="L52" i="6"/>
  <c r="AX10" i="14" l="1"/>
  <c r="AY10" i="14"/>
  <c r="AZ10" i="14"/>
  <c r="BA10" i="14" s="1"/>
  <c r="W11" i="14" s="1"/>
  <c r="AQ10" i="13"/>
  <c r="AT10" i="13" s="1"/>
  <c r="AR10" i="13"/>
  <c r="AY10" i="12"/>
  <c r="BA10" i="12" s="1"/>
  <c r="W11" i="12" s="1"/>
  <c r="Q53" i="6" a="1"/>
  <c r="Q53" i="6" s="1"/>
  <c r="J53" i="6"/>
  <c r="K53" i="6"/>
  <c r="I53" i="6"/>
  <c r="H54" i="6"/>
  <c r="L53" i="6"/>
  <c r="M53" i="6"/>
  <c r="AU10" i="13" l="1"/>
  <c r="AV10" i="13"/>
  <c r="X11" i="14"/>
  <c r="X11" i="12"/>
  <c r="Q54" i="6" a="1"/>
  <c r="Q54" i="6" s="1"/>
  <c r="I54" i="6"/>
  <c r="K54" i="6"/>
  <c r="J54" i="6"/>
  <c r="L54" i="6"/>
  <c r="M54" i="6"/>
  <c r="AX10" i="13" l="1"/>
  <c r="AW10" i="13"/>
  <c r="AZ10" i="13" s="1"/>
  <c r="AY10" i="13"/>
  <c r="AJ11" i="14"/>
  <c r="AN11" i="14" s="1"/>
  <c r="AI11" i="14"/>
  <c r="T12" i="14"/>
  <c r="U12" i="14" s="1"/>
  <c r="AJ11" i="12"/>
  <c r="AN11" i="12" s="1"/>
  <c r="AI11" i="12"/>
  <c r="T12" i="12"/>
  <c r="U12" i="12" s="1"/>
  <c r="N52" i="6"/>
  <c r="Z52" i="6" s="1"/>
  <c r="Y52" i="6" s="1"/>
  <c r="N48" i="6"/>
  <c r="O52" i="6"/>
  <c r="R52" i="6" s="1" a="1"/>
  <c r="R52" i="6" s="1"/>
  <c r="AC52" i="6" s="1"/>
  <c r="AD52" i="6" s="1"/>
  <c r="N4" i="6"/>
  <c r="Q4" i="6" s="1" a="1"/>
  <c r="Q4" i="6" s="1"/>
  <c r="N49" i="6"/>
  <c r="Z49" i="6" s="1"/>
  <c r="Y49" i="6" s="1"/>
  <c r="P54" i="6"/>
  <c r="S54" i="6" s="1" a="1"/>
  <c r="S54" i="6" s="1"/>
  <c r="O54" i="6"/>
  <c r="R54" i="6" s="1" a="1"/>
  <c r="R54" i="6" s="1"/>
  <c r="AC54" i="6" s="1"/>
  <c r="Z48" i="6"/>
  <c r="Y48" i="6" s="1"/>
  <c r="P53" i="6"/>
  <c r="P5" i="6"/>
  <c r="P4" i="6"/>
  <c r="S4" i="6" s="1" a="1"/>
  <c r="S4" i="6" s="1"/>
  <c r="AE4" i="6" s="1"/>
  <c r="P6" i="6"/>
  <c r="S6" i="6" s="1" a="1"/>
  <c r="S6" i="6" s="1"/>
  <c r="P7" i="6"/>
  <c r="S7" i="6" s="1" a="1"/>
  <c r="S7" i="6" s="1"/>
  <c r="P9" i="6"/>
  <c r="P8" i="6"/>
  <c r="P10" i="6"/>
  <c r="S10" i="6" s="1" a="1"/>
  <c r="S10" i="6" s="1"/>
  <c r="P11" i="6"/>
  <c r="P13" i="6"/>
  <c r="P12" i="6"/>
  <c r="P17" i="6"/>
  <c r="P15" i="6"/>
  <c r="S15" i="6" s="1" a="1"/>
  <c r="S15" i="6" s="1"/>
  <c r="P14" i="6"/>
  <c r="S14" i="6" s="1" a="1"/>
  <c r="S14" i="6" s="1"/>
  <c r="P18" i="6"/>
  <c r="S18" i="6" s="1" a="1"/>
  <c r="S18" i="6" s="1"/>
  <c r="P16" i="6"/>
  <c r="S16" i="6" s="1" a="1"/>
  <c r="S16" i="6" s="1"/>
  <c r="P20" i="6"/>
  <c r="P19" i="6"/>
  <c r="P21" i="6"/>
  <c r="P22" i="6"/>
  <c r="S22" i="6" s="1" a="1"/>
  <c r="S22" i="6" s="1"/>
  <c r="P23" i="6"/>
  <c r="S23" i="6" s="1" a="1"/>
  <c r="S23" i="6" s="1"/>
  <c r="P26" i="6"/>
  <c r="P24" i="6"/>
  <c r="S24" i="6" s="1" a="1"/>
  <c r="S24" i="6" s="1"/>
  <c r="P28" i="6"/>
  <c r="P25" i="6"/>
  <c r="P27" i="6"/>
  <c r="P31" i="6"/>
  <c r="S31" i="6" s="1" a="1"/>
  <c r="S31" i="6" s="1"/>
  <c r="P29" i="6"/>
  <c r="S29" i="6" s="1" a="1"/>
  <c r="S29" i="6" s="1"/>
  <c r="P30" i="6"/>
  <c r="P32" i="6"/>
  <c r="S32" i="6" s="1" a="1"/>
  <c r="S32" i="6" s="1"/>
  <c r="P34" i="6"/>
  <c r="P33" i="6"/>
  <c r="S33" i="6" s="1" a="1"/>
  <c r="S33" i="6" s="1"/>
  <c r="P36" i="6"/>
  <c r="P35" i="6"/>
  <c r="P37" i="6"/>
  <c r="P40" i="6"/>
  <c r="P38" i="6"/>
  <c r="P39" i="6"/>
  <c r="S39" i="6" s="1" a="1"/>
  <c r="S39" i="6" s="1"/>
  <c r="P42" i="6"/>
  <c r="P41" i="6"/>
  <c r="S41" i="6" s="1" a="1"/>
  <c r="S41" i="6" s="1"/>
  <c r="P43" i="6"/>
  <c r="S43" i="6" s="1" a="1"/>
  <c r="S43" i="6" s="1"/>
  <c r="P44" i="6"/>
  <c r="P51" i="6"/>
  <c r="S51" i="6" s="1" a="1"/>
  <c r="S51" i="6" s="1"/>
  <c r="P47" i="6"/>
  <c r="S47" i="6" s="1" a="1"/>
  <c r="S47" i="6" s="1"/>
  <c r="P48" i="6"/>
  <c r="S48" i="6" s="1" a="1"/>
  <c r="S48" i="6" s="1"/>
  <c r="P45" i="6"/>
  <c r="N51" i="6"/>
  <c r="O50" i="6"/>
  <c r="R50" i="6" s="1" a="1"/>
  <c r="R50" i="6" s="1"/>
  <c r="P46" i="6"/>
  <c r="S46" i="6" s="1" a="1"/>
  <c r="S46" i="6" s="1"/>
  <c r="N53" i="6"/>
  <c r="N6" i="6"/>
  <c r="Q6" i="6" s="1" a="1"/>
  <c r="Q6" i="6" s="1"/>
  <c r="N5" i="6"/>
  <c r="Q5" i="6" s="1" a="1"/>
  <c r="Q5" i="6" s="1"/>
  <c r="N7" i="6"/>
  <c r="Q7" i="6" s="1" a="1"/>
  <c r="Q7" i="6" s="1"/>
  <c r="N8" i="6"/>
  <c r="Q8" i="6" s="1" a="1"/>
  <c r="Q8" i="6" s="1"/>
  <c r="N9" i="6"/>
  <c r="Q9" i="6" s="1" a="1"/>
  <c r="Q9" i="6" s="1"/>
  <c r="N11" i="6"/>
  <c r="Q11" i="6" s="1" a="1"/>
  <c r="Q11" i="6" s="1"/>
  <c r="N10" i="6"/>
  <c r="Q10" i="6" s="1" a="1"/>
  <c r="Q10" i="6" s="1"/>
  <c r="N13" i="6"/>
  <c r="Q13" i="6" s="1" a="1"/>
  <c r="Q13" i="6" s="1"/>
  <c r="N12" i="6"/>
  <c r="Q12" i="6" s="1" a="1"/>
  <c r="Q12" i="6" s="1"/>
  <c r="N14" i="6"/>
  <c r="Q14" i="6" s="1" a="1"/>
  <c r="Q14" i="6" s="1"/>
  <c r="N16" i="6"/>
  <c r="Q16" i="6" s="1" a="1"/>
  <c r="Q16" i="6" s="1"/>
  <c r="N15" i="6"/>
  <c r="Q15" i="6" s="1" a="1"/>
  <c r="Q15" i="6" s="1"/>
  <c r="N18" i="6"/>
  <c r="Q18" i="6" s="1" a="1"/>
  <c r="Q18" i="6" s="1"/>
  <c r="N17" i="6"/>
  <c r="Q17" i="6" s="1" a="1"/>
  <c r="Q17" i="6" s="1"/>
  <c r="N19" i="6"/>
  <c r="Q19" i="6" s="1" a="1"/>
  <c r="Q19" i="6" s="1"/>
  <c r="N20" i="6"/>
  <c r="Q20" i="6" s="1" a="1"/>
  <c r="Q20" i="6" s="1"/>
  <c r="N21" i="6"/>
  <c r="Q21" i="6" s="1" a="1"/>
  <c r="Q21" i="6" s="1"/>
  <c r="N23" i="6"/>
  <c r="Q23" i="6" s="1" a="1"/>
  <c r="Q23" i="6" s="1"/>
  <c r="N25" i="6"/>
  <c r="Q25" i="6" s="1" a="1"/>
  <c r="Q25" i="6" s="1"/>
  <c r="N26" i="6"/>
  <c r="Q26" i="6" s="1" a="1"/>
  <c r="Q26" i="6" s="1"/>
  <c r="N24" i="6"/>
  <c r="Q24" i="6" s="1" a="1"/>
  <c r="Q24" i="6" s="1"/>
  <c r="N22" i="6"/>
  <c r="Q22" i="6" s="1" a="1"/>
  <c r="Q22" i="6" s="1"/>
  <c r="N27" i="6"/>
  <c r="Q27" i="6" s="1" a="1"/>
  <c r="Q27" i="6" s="1"/>
  <c r="N29" i="6"/>
  <c r="Q29" i="6" s="1" a="1"/>
  <c r="Q29" i="6" s="1"/>
  <c r="N28" i="6"/>
  <c r="Q28" i="6" s="1" a="1"/>
  <c r="Q28" i="6" s="1"/>
  <c r="N30" i="6"/>
  <c r="Q30" i="6" s="1" a="1"/>
  <c r="Q30" i="6" s="1"/>
  <c r="N32" i="6"/>
  <c r="Q32" i="6" s="1" a="1"/>
  <c r="Q32" i="6" s="1"/>
  <c r="N31" i="6"/>
  <c r="Q31" i="6" s="1" a="1"/>
  <c r="Q31" i="6" s="1"/>
  <c r="N36" i="6"/>
  <c r="Q36" i="6" s="1" a="1"/>
  <c r="Q36" i="6" s="1"/>
  <c r="N33" i="6"/>
  <c r="Q33" i="6" s="1" a="1"/>
  <c r="Q33" i="6" s="1"/>
  <c r="N34" i="6"/>
  <c r="Q34" i="6" s="1" a="1"/>
  <c r="Q34" i="6" s="1"/>
  <c r="N35" i="6"/>
  <c r="Q35" i="6" s="1" a="1"/>
  <c r="Q35" i="6" s="1"/>
  <c r="N37" i="6"/>
  <c r="Q37" i="6" s="1" a="1"/>
  <c r="Q37" i="6" s="1"/>
  <c r="N38" i="6"/>
  <c r="Q38" i="6" s="1" a="1"/>
  <c r="Q38" i="6" s="1"/>
  <c r="N41" i="6"/>
  <c r="N39" i="6"/>
  <c r="N40" i="6"/>
  <c r="N43" i="6"/>
  <c r="N45" i="6"/>
  <c r="N42" i="6"/>
  <c r="N44" i="6"/>
  <c r="N47" i="6"/>
  <c r="N54" i="6"/>
  <c r="P49" i="6"/>
  <c r="O53" i="6"/>
  <c r="O5" i="6"/>
  <c r="O6" i="6"/>
  <c r="O4" i="6"/>
  <c r="R4" i="6" s="1" a="1"/>
  <c r="R4" i="6" s="1"/>
  <c r="O9" i="6"/>
  <c r="R9" i="6" s="1" a="1"/>
  <c r="R9" i="6" s="1"/>
  <c r="O7" i="6"/>
  <c r="O8" i="6"/>
  <c r="R8" i="6" s="1" a="1"/>
  <c r="R8" i="6" s="1"/>
  <c r="O11" i="6"/>
  <c r="R11" i="6" s="1" a="1"/>
  <c r="R11" i="6" s="1"/>
  <c r="O10" i="6"/>
  <c r="O12" i="6"/>
  <c r="R12" i="6" s="1" a="1"/>
  <c r="R12" i="6" s="1"/>
  <c r="O14" i="6"/>
  <c r="R14" i="6" s="1" a="1"/>
  <c r="R14" i="6" s="1"/>
  <c r="O16" i="6"/>
  <c r="O13" i="6"/>
  <c r="O15" i="6"/>
  <c r="O17" i="6"/>
  <c r="O18" i="6"/>
  <c r="O21" i="6"/>
  <c r="O23" i="6"/>
  <c r="R23" i="6" s="1" a="1"/>
  <c r="R23" i="6" s="1"/>
  <c r="O19" i="6"/>
  <c r="O20" i="6"/>
  <c r="R20" i="6" s="1" a="1"/>
  <c r="R20" i="6" s="1"/>
  <c r="O22" i="6"/>
  <c r="O25" i="6"/>
  <c r="O24" i="6"/>
  <c r="O27" i="6"/>
  <c r="O28" i="6"/>
  <c r="O26" i="6"/>
  <c r="O29" i="6"/>
  <c r="O30" i="6"/>
  <c r="O31" i="6"/>
  <c r="R31" i="6" s="1" a="1"/>
  <c r="R31" i="6" s="1"/>
  <c r="O33" i="6"/>
  <c r="R33" i="6" s="1" a="1"/>
  <c r="R33" i="6" s="1"/>
  <c r="O32" i="6"/>
  <c r="O35" i="6"/>
  <c r="O34" i="6"/>
  <c r="O36" i="6"/>
  <c r="O37" i="6"/>
  <c r="O39" i="6"/>
  <c r="R39" i="6" s="1" a="1"/>
  <c r="R39" i="6" s="1"/>
  <c r="O40" i="6"/>
  <c r="O38" i="6"/>
  <c r="O41" i="6"/>
  <c r="R41" i="6" s="1" a="1"/>
  <c r="R41" i="6" s="1"/>
  <c r="O42" i="6"/>
  <c r="O45" i="6"/>
  <c r="O43" i="6"/>
  <c r="O46" i="6"/>
  <c r="O49" i="6"/>
  <c r="R49" i="6" s="1" a="1"/>
  <c r="R49" i="6" s="1"/>
  <c r="O48" i="6"/>
  <c r="R48" i="6" s="1" a="1"/>
  <c r="R48" i="6" s="1"/>
  <c r="O44" i="6"/>
  <c r="R44" i="6" s="1" a="1"/>
  <c r="R44" i="6" s="1"/>
  <c r="O47" i="6"/>
  <c r="O51" i="6"/>
  <c r="R51" i="6" s="1" a="1"/>
  <c r="R51" i="6" s="1"/>
  <c r="N46" i="6"/>
  <c r="P50" i="6"/>
  <c r="P52" i="6"/>
  <c r="N50" i="6"/>
  <c r="BA10" i="13" l="1"/>
  <c r="W11" i="13" s="1"/>
  <c r="X11" i="13" s="1"/>
  <c r="AM11" i="14"/>
  <c r="AK11" i="14"/>
  <c r="AO11" i="14" s="1"/>
  <c r="AJ11" i="13"/>
  <c r="AN11" i="13" s="1"/>
  <c r="AI11" i="13"/>
  <c r="T12" i="13"/>
  <c r="U12" i="13" s="1"/>
  <c r="AM11" i="12"/>
  <c r="AK11" i="12"/>
  <c r="AO11" i="12" s="1"/>
  <c r="AP11" i="12" s="1"/>
  <c r="AT11" i="12" s="1"/>
  <c r="S26" i="6" a="1"/>
  <c r="S26" i="6" s="1"/>
  <c r="AE26" i="6" s="1"/>
  <c r="AF26" i="6" s="1"/>
  <c r="S9" i="6" a="1"/>
  <c r="S9" i="6" s="1"/>
  <c r="AE9" i="6" s="1"/>
  <c r="AF9" i="6" s="1"/>
  <c r="S17" i="6" a="1"/>
  <c r="S17" i="6" s="1"/>
  <c r="AE17" i="6" s="1"/>
  <c r="AF17" i="6" s="1"/>
  <c r="S38" i="6" a="1"/>
  <c r="S38" i="6" s="1"/>
  <c r="AE38" i="6" s="1"/>
  <c r="AF38" i="6" s="1"/>
  <c r="S12" i="6" a="1"/>
  <c r="S12" i="6" s="1"/>
  <c r="AE12" i="6" s="1"/>
  <c r="AF12" i="6" s="1"/>
  <c r="S30" i="6" a="1"/>
  <c r="S30" i="6" s="1"/>
  <c r="AE30" i="6" s="1"/>
  <c r="AF30" i="6" s="1"/>
  <c r="S19" i="6" a="1"/>
  <c r="S19" i="6" s="1"/>
  <c r="AE19" i="6" s="1"/>
  <c r="AF19" i="6" s="1"/>
  <c r="S5" i="6" a="1"/>
  <c r="S5" i="6" s="1"/>
  <c r="AE5" i="6" s="1"/>
  <c r="AF5" i="6" s="1"/>
  <c r="S40" i="6" a="1"/>
  <c r="S40" i="6" s="1"/>
  <c r="AE40" i="6" s="1"/>
  <c r="AF40" i="6" s="1"/>
  <c r="S21" i="6" a="1"/>
  <c r="S21" i="6" s="1"/>
  <c r="AE21" i="6" s="1"/>
  <c r="AF21" i="6" s="1"/>
  <c r="S27" i="6" a="1"/>
  <c r="S27" i="6" s="1"/>
  <c r="AE27" i="6" s="1"/>
  <c r="AF27" i="6" s="1"/>
  <c r="S13" i="6" a="1"/>
  <c r="S13" i="6" s="1"/>
  <c r="AE13" i="6" s="1"/>
  <c r="AF13" i="6" s="1"/>
  <c r="S50" i="6" a="1"/>
  <c r="S50" i="6" s="1"/>
  <c r="AE50" i="6" s="1"/>
  <c r="AF50" i="6" s="1"/>
  <c r="S36" i="6" a="1"/>
  <c r="S36" i="6" s="1"/>
  <c r="AE36" i="6" s="1"/>
  <c r="AF36" i="6" s="1"/>
  <c r="S25" i="6" a="1"/>
  <c r="S25" i="6" s="1"/>
  <c r="AE25" i="6" s="1"/>
  <c r="AF25" i="6" s="1"/>
  <c r="S20" i="6" a="1"/>
  <c r="S20" i="6" s="1"/>
  <c r="AE20" i="6" s="1"/>
  <c r="AF20" i="6" s="1"/>
  <c r="S11" i="6" a="1"/>
  <c r="S11" i="6" s="1"/>
  <c r="AE11" i="6" s="1"/>
  <c r="AF11" i="6" s="1"/>
  <c r="S53" i="6" a="1"/>
  <c r="S53" i="6" s="1"/>
  <c r="AE53" i="6" s="1"/>
  <c r="AF53" i="6" s="1"/>
  <c r="S45" i="6" a="1"/>
  <c r="S45" i="6" s="1"/>
  <c r="AE45" i="6" s="1"/>
  <c r="AF45" i="6" s="1"/>
  <c r="S37" i="6" a="1"/>
  <c r="S37" i="6" s="1"/>
  <c r="AE37" i="6" s="1"/>
  <c r="AF37" i="6" s="1"/>
  <c r="V52" i="6"/>
  <c r="S52" i="6" a="1"/>
  <c r="S52" i="6" s="1"/>
  <c r="AE52" i="6" s="1"/>
  <c r="AF52" i="6" s="1"/>
  <c r="S35" i="6" a="1"/>
  <c r="S35" i="6" s="1"/>
  <c r="AE35" i="6" s="1"/>
  <c r="AF35" i="6" s="1"/>
  <c r="S28" i="6" a="1"/>
  <c r="S28" i="6" s="1"/>
  <c r="AE28" i="6" s="1"/>
  <c r="AF28" i="6" s="1"/>
  <c r="S44" i="6" a="1"/>
  <c r="S44" i="6" s="1"/>
  <c r="AE44" i="6" s="1"/>
  <c r="AF44" i="6" s="1"/>
  <c r="S49" i="6" a="1"/>
  <c r="S49" i="6" s="1"/>
  <c r="AE49" i="6" s="1"/>
  <c r="AF49" i="6" s="1"/>
  <c r="S42" i="6" a="1"/>
  <c r="S42" i="6" s="1"/>
  <c r="AE42" i="6" s="1"/>
  <c r="AF42" i="6" s="1"/>
  <c r="S34" i="6" a="1"/>
  <c r="S34" i="6" s="1"/>
  <c r="AE34" i="6" s="1"/>
  <c r="AF34" i="6" s="1"/>
  <c r="S8" i="6" a="1"/>
  <c r="S8" i="6" s="1"/>
  <c r="AE8" i="6" s="1"/>
  <c r="AF8" i="6" s="1"/>
  <c r="R40" i="6" a="1"/>
  <c r="R40" i="6" s="1"/>
  <c r="AC40" i="6" s="1"/>
  <c r="AD40" i="6" s="1"/>
  <c r="R22" i="6" a="1"/>
  <c r="R22" i="6" s="1"/>
  <c r="AC22" i="6" s="1"/>
  <c r="AD22" i="6" s="1"/>
  <c r="R13" i="6" a="1"/>
  <c r="R13" i="6" s="1"/>
  <c r="AC13" i="6" s="1"/>
  <c r="AD13" i="6" s="1"/>
  <c r="R30" i="6" a="1"/>
  <c r="R30" i="6" s="1"/>
  <c r="AC30" i="6" s="1"/>
  <c r="AD30" i="6" s="1"/>
  <c r="R16" i="6" a="1"/>
  <c r="R16" i="6" s="1"/>
  <c r="AC16" i="6" s="1"/>
  <c r="AD16" i="6" s="1"/>
  <c r="R46" i="6" a="1"/>
  <c r="R46" i="6" s="1"/>
  <c r="AC46" i="6" s="1"/>
  <c r="AD46" i="6" s="1"/>
  <c r="R37" i="6" a="1"/>
  <c r="R37" i="6" s="1"/>
  <c r="AC37" i="6" s="1"/>
  <c r="AD37" i="6" s="1"/>
  <c r="R29" i="6" a="1"/>
  <c r="R29" i="6" s="1"/>
  <c r="AC29" i="6" s="1"/>
  <c r="AD29" i="6" s="1"/>
  <c r="R19" i="6" a="1"/>
  <c r="R19" i="6" s="1"/>
  <c r="AC19" i="6" s="1"/>
  <c r="AD19" i="6" s="1"/>
  <c r="R6" i="6" a="1"/>
  <c r="R6" i="6" s="1"/>
  <c r="AC6" i="6" s="1"/>
  <c r="AD6" i="6" s="1"/>
  <c r="R43" i="6" a="1"/>
  <c r="R43" i="6" s="1"/>
  <c r="AC43" i="6" s="1"/>
  <c r="AD43" i="6" s="1"/>
  <c r="R5" i="6" a="1"/>
  <c r="R5" i="6" s="1"/>
  <c r="AC5" i="6" s="1"/>
  <c r="AD5" i="6" s="1"/>
  <c r="R26" i="6" a="1"/>
  <c r="R26" i="6" s="1"/>
  <c r="AC26" i="6" s="1"/>
  <c r="AD26" i="6" s="1"/>
  <c r="R45" i="6" a="1"/>
  <c r="R45" i="6" s="1"/>
  <c r="AC45" i="6" s="1"/>
  <c r="AD45" i="6" s="1"/>
  <c r="R34" i="6" a="1"/>
  <c r="R34" i="6" s="1"/>
  <c r="AC34" i="6" s="1"/>
  <c r="AD34" i="6" s="1"/>
  <c r="R28" i="6" a="1"/>
  <c r="R28" i="6" s="1"/>
  <c r="AC28" i="6" s="1"/>
  <c r="AD28" i="6" s="1"/>
  <c r="R21" i="6" a="1"/>
  <c r="R21" i="6" s="1"/>
  <c r="AC21" i="6" s="1"/>
  <c r="AD21" i="6" s="1"/>
  <c r="R10" i="6" a="1"/>
  <c r="R10" i="6" s="1"/>
  <c r="AC10" i="6" s="1"/>
  <c r="AD10" i="6" s="1"/>
  <c r="R53" i="6" a="1"/>
  <c r="R53" i="6" s="1"/>
  <c r="AC53" i="6" s="1"/>
  <c r="AD53" i="6" s="1"/>
  <c r="R36" i="6" a="1"/>
  <c r="R36" i="6" s="1"/>
  <c r="AC36" i="6" s="1"/>
  <c r="AD36" i="6" s="1"/>
  <c r="R42" i="6" a="1"/>
  <c r="R42" i="6" s="1"/>
  <c r="AC42" i="6" s="1"/>
  <c r="AD42" i="6" s="1"/>
  <c r="R35" i="6" a="1"/>
  <c r="R35" i="6" s="1"/>
  <c r="AC35" i="6" s="1"/>
  <c r="AD35" i="6" s="1"/>
  <c r="R27" i="6" a="1"/>
  <c r="R27" i="6" s="1"/>
  <c r="AC27" i="6" s="1"/>
  <c r="AD27" i="6" s="1"/>
  <c r="R18" i="6" a="1"/>
  <c r="R18" i="6" s="1"/>
  <c r="AC18" i="6" s="1"/>
  <c r="AD18" i="6" s="1"/>
  <c r="R47" i="6" a="1"/>
  <c r="R47" i="6" s="1"/>
  <c r="AC47" i="6" s="1"/>
  <c r="AD47" i="6" s="1"/>
  <c r="R32" i="6" a="1"/>
  <c r="R32" i="6" s="1"/>
  <c r="AC32" i="6" s="1"/>
  <c r="AD32" i="6" s="1"/>
  <c r="R24" i="6" a="1"/>
  <c r="R24" i="6" s="1"/>
  <c r="AC24" i="6" s="1"/>
  <c r="AD24" i="6" s="1"/>
  <c r="R17" i="6" a="1"/>
  <c r="R17" i="6" s="1"/>
  <c r="AC17" i="6" s="1"/>
  <c r="AD17" i="6" s="1"/>
  <c r="R38" i="6" a="1"/>
  <c r="R38" i="6" s="1"/>
  <c r="AC38" i="6" s="1"/>
  <c r="AD38" i="6" s="1"/>
  <c r="R25" i="6" a="1"/>
  <c r="R25" i="6" s="1"/>
  <c r="AC25" i="6" s="1"/>
  <c r="AD25" i="6" s="1"/>
  <c r="R15" i="6" a="1"/>
  <c r="R15" i="6" s="1"/>
  <c r="AC15" i="6" s="1"/>
  <c r="AD15" i="6" s="1"/>
  <c r="R7" i="6" a="1"/>
  <c r="R7" i="6" s="1"/>
  <c r="AC7" i="6" s="1"/>
  <c r="AD7" i="6" s="1"/>
  <c r="V48" i="6"/>
  <c r="AA48" i="6"/>
  <c r="AB48" i="6" s="1"/>
  <c r="Z50" i="6"/>
  <c r="Y50" i="6" s="1"/>
  <c r="V50" i="6"/>
  <c r="Z33" i="6"/>
  <c r="Y33" i="6" s="1"/>
  <c r="V33" i="6"/>
  <c r="V16" i="6"/>
  <c r="Z16" i="6"/>
  <c r="Y16" i="6" s="1"/>
  <c r="Z36" i="6"/>
  <c r="Y36" i="6" s="1"/>
  <c r="V36" i="6"/>
  <c r="V20" i="6"/>
  <c r="Z20" i="6"/>
  <c r="Y20" i="6" s="1"/>
  <c r="Z6" i="6"/>
  <c r="Y6" i="6" s="1"/>
  <c r="V6" i="6"/>
  <c r="AC48" i="6"/>
  <c r="AD48" i="6" s="1"/>
  <c r="Z45" i="6"/>
  <c r="Y45" i="6" s="1"/>
  <c r="V45" i="6"/>
  <c r="Z34" i="6"/>
  <c r="Y34" i="6" s="1"/>
  <c r="V34" i="6"/>
  <c r="Z15" i="6"/>
  <c r="Y15" i="6" s="1"/>
  <c r="V15" i="6"/>
  <c r="Z10" i="6"/>
  <c r="Y10" i="6" s="1"/>
  <c r="V10" i="6"/>
  <c r="Z51" i="6"/>
  <c r="Y51" i="6" s="1"/>
  <c r="V51" i="6"/>
  <c r="AE48" i="6"/>
  <c r="AF48" i="6" s="1"/>
  <c r="V54" i="6"/>
  <c r="Z54" i="6"/>
  <c r="Y54" i="6" s="1"/>
  <c r="V24" i="6"/>
  <c r="Z24" i="6"/>
  <c r="Y24" i="6" s="1"/>
  <c r="AF4" i="6"/>
  <c r="AD54" i="6"/>
  <c r="Z26" i="6"/>
  <c r="Y26" i="6" s="1"/>
  <c r="V26" i="6"/>
  <c r="AE33" i="6"/>
  <c r="AF33" i="6" s="1"/>
  <c r="AE15" i="6"/>
  <c r="AF15" i="6" s="1"/>
  <c r="AE6" i="6"/>
  <c r="AF6" i="6" s="1"/>
  <c r="AE47" i="6"/>
  <c r="AF47" i="6" s="1"/>
  <c r="V21" i="6"/>
  <c r="Z21" i="6"/>
  <c r="Y21" i="6" s="1"/>
  <c r="Z53" i="6"/>
  <c r="Y53" i="6" s="1"/>
  <c r="V53" i="6"/>
  <c r="V19" i="6"/>
  <c r="Z19" i="6"/>
  <c r="Y19" i="6" s="1"/>
  <c r="AA19" i="6" s="1"/>
  <c r="AC51" i="6"/>
  <c r="AD51" i="6" s="1"/>
  <c r="AC49" i="6"/>
  <c r="AD49" i="6" s="1"/>
  <c r="AC41" i="6"/>
  <c r="AD41" i="6" s="1"/>
  <c r="V47" i="6"/>
  <c r="Z47" i="6"/>
  <c r="Y47" i="6" s="1"/>
  <c r="V38" i="6"/>
  <c r="Z38" i="6"/>
  <c r="Y38" i="6" s="1"/>
  <c r="Z25" i="6"/>
  <c r="Y25" i="6" s="1"/>
  <c r="V25" i="6"/>
  <c r="V17" i="6"/>
  <c r="Z17" i="6"/>
  <c r="Y17" i="6" s="1"/>
  <c r="AA17" i="6" s="1"/>
  <c r="V12" i="6"/>
  <c r="Z12" i="6"/>
  <c r="Y12" i="6" s="1"/>
  <c r="AC50" i="6"/>
  <c r="AD50" i="6" s="1"/>
  <c r="AE43" i="6"/>
  <c r="AF43" i="6" s="1"/>
  <c r="AE24" i="6"/>
  <c r="AF24" i="6" s="1"/>
  <c r="AE39" i="6"/>
  <c r="AF39" i="6" s="1"/>
  <c r="AA52" i="6"/>
  <c r="Z43" i="6"/>
  <c r="Y43" i="6" s="1"/>
  <c r="V43" i="6"/>
  <c r="Z22" i="6"/>
  <c r="Y22" i="6" s="1"/>
  <c r="AA22" i="6" s="1"/>
  <c r="V22" i="6"/>
  <c r="Z11" i="6"/>
  <c r="Y11" i="6" s="1"/>
  <c r="V11" i="6"/>
  <c r="Z28" i="6"/>
  <c r="Y28" i="6" s="1"/>
  <c r="V28" i="6"/>
  <c r="Z5" i="6"/>
  <c r="Y5" i="6" s="1"/>
  <c r="V5" i="6"/>
  <c r="V39" i="6"/>
  <c r="Z39" i="6"/>
  <c r="Y39" i="6" s="1"/>
  <c r="AC31" i="6"/>
  <c r="AD31" i="6" s="1"/>
  <c r="Z41" i="6"/>
  <c r="Y41" i="6" s="1"/>
  <c r="V41" i="6"/>
  <c r="V31" i="6"/>
  <c r="Z31" i="6"/>
  <c r="Y31" i="6" s="1"/>
  <c r="Z29" i="6"/>
  <c r="Y29" i="6" s="1"/>
  <c r="V29" i="6"/>
  <c r="Z9" i="6"/>
  <c r="Y9" i="6" s="1"/>
  <c r="V9" i="6"/>
  <c r="Z46" i="6"/>
  <c r="Y46" i="6" s="1"/>
  <c r="V46" i="6"/>
  <c r="AC14" i="6"/>
  <c r="AD14" i="6" s="1"/>
  <c r="AC4" i="6"/>
  <c r="AD4" i="6" s="1"/>
  <c r="AC20" i="6"/>
  <c r="AD20" i="6" s="1"/>
  <c r="AC11" i="6"/>
  <c r="AD11" i="6" s="1"/>
  <c r="Z44" i="6"/>
  <c r="Y44" i="6" s="1"/>
  <c r="V44" i="6"/>
  <c r="V37" i="6"/>
  <c r="Z37" i="6"/>
  <c r="Y37" i="6" s="1"/>
  <c r="V32" i="6"/>
  <c r="Z32" i="6"/>
  <c r="Y32" i="6" s="1"/>
  <c r="V18" i="6"/>
  <c r="Z18" i="6"/>
  <c r="Y18" i="6" s="1"/>
  <c r="V13" i="6"/>
  <c r="Z13" i="6"/>
  <c r="Y13" i="6" s="1"/>
  <c r="Z8" i="6"/>
  <c r="Y8" i="6" s="1"/>
  <c r="V8" i="6"/>
  <c r="Z4" i="6"/>
  <c r="Y4" i="6" s="1"/>
  <c r="V4" i="6"/>
  <c r="X4" i="6" s="1"/>
  <c r="T5" i="6" s="1"/>
  <c r="AE41" i="6"/>
  <c r="AF41" i="6" s="1"/>
  <c r="AE29" i="6"/>
  <c r="AF29" i="6" s="1"/>
  <c r="AE10" i="6"/>
  <c r="AF10" i="6" s="1"/>
  <c r="AE7" i="6"/>
  <c r="AF7" i="6" s="1"/>
  <c r="AE16" i="6"/>
  <c r="AF16" i="6" s="1"/>
  <c r="V49" i="6"/>
  <c r="V40" i="6"/>
  <c r="Z40" i="6"/>
  <c r="Y40" i="6" s="1"/>
  <c r="Z14" i="6"/>
  <c r="Y14" i="6" s="1"/>
  <c r="V14" i="6"/>
  <c r="AC23" i="6"/>
  <c r="AD23" i="6" s="1"/>
  <c r="AA49" i="6"/>
  <c r="AE46" i="6"/>
  <c r="AF46" i="6" s="1"/>
  <c r="AC44" i="6"/>
  <c r="AD44" i="6" s="1"/>
  <c r="AC39" i="6"/>
  <c r="AD39" i="6" s="1"/>
  <c r="AC33" i="6"/>
  <c r="AD33" i="6" s="1"/>
  <c r="AC12" i="6"/>
  <c r="AD12" i="6" s="1"/>
  <c r="AC8" i="6"/>
  <c r="AD8" i="6" s="1"/>
  <c r="AC9" i="6"/>
  <c r="AD9" i="6" s="1"/>
  <c r="V42" i="6"/>
  <c r="Z42" i="6"/>
  <c r="Y42" i="6" s="1"/>
  <c r="V35" i="6"/>
  <c r="Z35" i="6"/>
  <c r="Y35" i="6" s="1"/>
  <c r="V30" i="6"/>
  <c r="Z30" i="6"/>
  <c r="Y30" i="6" s="1"/>
  <c r="Z27" i="6"/>
  <c r="Y27" i="6" s="1"/>
  <c r="V27" i="6"/>
  <c r="Z23" i="6"/>
  <c r="Y23" i="6" s="1"/>
  <c r="V23" i="6"/>
  <c r="Z7" i="6"/>
  <c r="Y7" i="6" s="1"/>
  <c r="V7" i="6"/>
  <c r="AE54" i="6"/>
  <c r="AF54" i="6" s="1"/>
  <c r="AE51" i="6"/>
  <c r="AF51" i="6" s="1"/>
  <c r="AE32" i="6"/>
  <c r="AF32" i="6" s="1"/>
  <c r="AE31" i="6"/>
  <c r="AF31" i="6" s="1"/>
  <c r="AE23" i="6"/>
  <c r="AF23" i="6" s="1"/>
  <c r="AE22" i="6"/>
  <c r="AF22" i="6" s="1"/>
  <c r="AE18" i="6"/>
  <c r="AF18" i="6" s="1"/>
  <c r="AE14" i="6"/>
  <c r="AF14" i="6" s="1"/>
  <c r="AL11" i="14" l="1"/>
  <c r="AP11" i="14"/>
  <c r="AS11" i="14"/>
  <c r="AM11" i="13"/>
  <c r="AK11" i="13"/>
  <c r="AO11" i="13" s="1"/>
  <c r="AQ11" i="12"/>
  <c r="AR11" i="12"/>
  <c r="AL11" i="12"/>
  <c r="AV11" i="12"/>
  <c r="AS11" i="12"/>
  <c r="AU11" i="12" s="1"/>
  <c r="AG52" i="6"/>
  <c r="AG17" i="6"/>
  <c r="AG19" i="6"/>
  <c r="AA28" i="6"/>
  <c r="AG28" i="6" s="1"/>
  <c r="AH48" i="6"/>
  <c r="AA20" i="6"/>
  <c r="AB20" i="6" s="1"/>
  <c r="AH20" i="6" s="1"/>
  <c r="AA36" i="6"/>
  <c r="AG36" i="6" s="1"/>
  <c r="AA34" i="6"/>
  <c r="AG34" i="6" s="1"/>
  <c r="AA21" i="6"/>
  <c r="AG21" i="6" s="1"/>
  <c r="AG49" i="6"/>
  <c r="AG22" i="6"/>
  <c r="AA23" i="6"/>
  <c r="AG23" i="6" s="1"/>
  <c r="AA18" i="6"/>
  <c r="AG18" i="6" s="1"/>
  <c r="AA51" i="6"/>
  <c r="AG51" i="6" s="1"/>
  <c r="AA4" i="6"/>
  <c r="AG4" i="6" s="1"/>
  <c r="AA43" i="6"/>
  <c r="AG43" i="6" s="1"/>
  <c r="AA45" i="6"/>
  <c r="AG45" i="6" s="1"/>
  <c r="AA8" i="6"/>
  <c r="AG8" i="6" s="1"/>
  <c r="AA33" i="6"/>
  <c r="AG33" i="6" s="1"/>
  <c r="AA30" i="6"/>
  <c r="AG30" i="6" s="1"/>
  <c r="AA32" i="6"/>
  <c r="AG32" i="6" s="1"/>
  <c r="AA38" i="6"/>
  <c r="AG38" i="6" s="1"/>
  <c r="AA13" i="6"/>
  <c r="AG13" i="6" s="1"/>
  <c r="AA37" i="6"/>
  <c r="AG37" i="6" s="1"/>
  <c r="AA47" i="6"/>
  <c r="AG47" i="6" s="1"/>
  <c r="AA15" i="6"/>
  <c r="AG15" i="6" s="1"/>
  <c r="AA26" i="6"/>
  <c r="AG26" i="6" s="1"/>
  <c r="AA41" i="6"/>
  <c r="AG41" i="6" s="1"/>
  <c r="AA27" i="6"/>
  <c r="AG27" i="6" s="1"/>
  <c r="AA10" i="6"/>
  <c r="AG10" i="6" s="1"/>
  <c r="AA31" i="6"/>
  <c r="AG31" i="6" s="1"/>
  <c r="AA11" i="6"/>
  <c r="AG11" i="6" s="1"/>
  <c r="AA40" i="6"/>
  <c r="AG40" i="6" s="1"/>
  <c r="AA16" i="6"/>
  <c r="AG16" i="6" s="1"/>
  <c r="AB52" i="6"/>
  <c r="AH52" i="6" s="1"/>
  <c r="AA5" i="6"/>
  <c r="AG5" i="6" s="1"/>
  <c r="AJ4" i="6"/>
  <c r="AI4" i="6"/>
  <c r="AA7" i="6"/>
  <c r="AG7" i="6" s="1"/>
  <c r="AB19" i="6"/>
  <c r="AH19" i="6" s="1"/>
  <c r="AA54" i="6"/>
  <c r="AG54" i="6" s="1"/>
  <c r="AA25" i="6"/>
  <c r="AG25" i="6" s="1"/>
  <c r="AA14" i="6"/>
  <c r="AG14" i="6" s="1"/>
  <c r="AA42" i="6"/>
  <c r="AG42" i="6" s="1"/>
  <c r="AA46" i="6"/>
  <c r="AG46" i="6" s="1"/>
  <c r="AB49" i="6"/>
  <c r="AH49" i="6" s="1"/>
  <c r="AA44" i="6"/>
  <c r="AG44" i="6" s="1"/>
  <c r="AA39" i="6"/>
  <c r="AG39" i="6" s="1"/>
  <c r="AB22" i="6"/>
  <c r="AH22" i="6" s="1"/>
  <c r="AA9" i="6"/>
  <c r="AG9" i="6" s="1"/>
  <c r="AA35" i="6"/>
  <c r="AG35" i="6" s="1"/>
  <c r="AB17" i="6"/>
  <c r="AH17" i="6" s="1"/>
  <c r="AA29" i="6"/>
  <c r="AG29" i="6" s="1"/>
  <c r="AA6" i="6"/>
  <c r="AG6" i="6" s="1"/>
  <c r="AA12" i="6"/>
  <c r="AG12" i="6" s="1"/>
  <c r="AA53" i="6"/>
  <c r="AG53" i="6" s="1"/>
  <c r="AA24" i="6"/>
  <c r="AG24" i="6" s="1"/>
  <c r="AA50" i="6"/>
  <c r="AG50" i="6" s="1"/>
  <c r="AG48" i="6"/>
  <c r="AQ11" i="14" l="1"/>
  <c r="AT11" i="14" s="1"/>
  <c r="AR11" i="14"/>
  <c r="AP11" i="13"/>
  <c r="AL11" i="13"/>
  <c r="AS11" i="13"/>
  <c r="AX11" i="12"/>
  <c r="AW11" i="12"/>
  <c r="AZ11" i="12" s="1"/>
  <c r="AG20" i="6"/>
  <c r="AB28" i="6"/>
  <c r="AH28" i="6" s="1"/>
  <c r="AB35" i="6"/>
  <c r="AH35" i="6" s="1"/>
  <c r="AB45" i="6"/>
  <c r="AH45" i="6" s="1"/>
  <c r="AB27" i="6"/>
  <c r="AH27" i="6" s="1"/>
  <c r="AB34" i="6"/>
  <c r="AH34" i="6" s="1"/>
  <c r="AB25" i="6"/>
  <c r="AH25" i="6" s="1"/>
  <c r="AB42" i="6"/>
  <c r="AH42" i="6" s="1"/>
  <c r="AB7" i="6"/>
  <c r="AH7" i="6" s="1"/>
  <c r="AB24" i="6"/>
  <c r="AH24" i="6" s="1"/>
  <c r="AB36" i="6"/>
  <c r="AH36" i="6" s="1"/>
  <c r="AB21" i="6"/>
  <c r="AH21" i="6" s="1"/>
  <c r="AB11" i="6"/>
  <c r="AH11" i="6" s="1"/>
  <c r="AB15" i="6"/>
  <c r="AH15" i="6" s="1"/>
  <c r="AK4" i="6"/>
  <c r="AL4" i="6" s="1"/>
  <c r="AN4" i="6"/>
  <c r="AB14" i="6"/>
  <c r="AH14" i="6" s="1"/>
  <c r="AB50" i="6"/>
  <c r="AH50" i="6" s="1"/>
  <c r="AB5" i="6"/>
  <c r="AH5" i="6" s="1"/>
  <c r="AB40" i="6"/>
  <c r="AH40" i="6" s="1"/>
  <c r="AB41" i="6"/>
  <c r="AH41" i="6" s="1"/>
  <c r="AB43" i="6"/>
  <c r="AH43" i="6" s="1"/>
  <c r="AB47" i="6"/>
  <c r="AH47" i="6" s="1"/>
  <c r="AB8" i="6"/>
  <c r="AH8" i="6" s="1"/>
  <c r="AB44" i="6"/>
  <c r="AH44" i="6" s="1"/>
  <c r="AB10" i="6"/>
  <c r="AH10" i="6" s="1"/>
  <c r="AB37" i="6"/>
  <c r="AH37" i="6" s="1"/>
  <c r="AB4" i="6"/>
  <c r="AH4" i="6" s="1"/>
  <c r="AM4" i="6"/>
  <c r="AB31" i="6"/>
  <c r="AH31" i="6" s="1"/>
  <c r="AB33" i="6"/>
  <c r="AH33" i="6" s="1"/>
  <c r="AB29" i="6"/>
  <c r="AH29" i="6" s="1"/>
  <c r="AB46" i="6"/>
  <c r="AH46" i="6" s="1"/>
  <c r="AB12" i="6"/>
  <c r="AH12" i="6" s="1"/>
  <c r="AB16" i="6"/>
  <c r="AH16" i="6" s="1"/>
  <c r="AB30" i="6"/>
  <c r="AH30" i="6" s="1"/>
  <c r="AB38" i="6"/>
  <c r="AH38" i="6" s="1"/>
  <c r="AB39" i="6"/>
  <c r="AH39" i="6" s="1"/>
  <c r="AB26" i="6"/>
  <c r="AH26" i="6" s="1"/>
  <c r="AB32" i="6"/>
  <c r="AH32" i="6" s="1"/>
  <c r="AB18" i="6"/>
  <c r="AH18" i="6" s="1"/>
  <c r="AB53" i="6"/>
  <c r="AH53" i="6" s="1"/>
  <c r="AB54" i="6"/>
  <c r="AH54" i="6" s="1"/>
  <c r="AB9" i="6"/>
  <c r="AH9" i="6" s="1"/>
  <c r="AB13" i="6"/>
  <c r="AH13" i="6" s="1"/>
  <c r="AB6" i="6"/>
  <c r="AH6" i="6" s="1"/>
  <c r="AB51" i="6"/>
  <c r="AH51" i="6" s="1"/>
  <c r="AB23" i="6"/>
  <c r="AH23" i="6" s="1"/>
  <c r="AU11" i="14" l="1"/>
  <c r="AV11" i="14" s="1"/>
  <c r="AQ11" i="13"/>
  <c r="AT11" i="13" s="1"/>
  <c r="AR11" i="13"/>
  <c r="AY11" i="12"/>
  <c r="BA11" i="12" s="1"/>
  <c r="W12" i="12" s="1"/>
  <c r="AO4" i="6"/>
  <c r="AP4" i="6" s="1"/>
  <c r="AS4" i="6"/>
  <c r="AU11" i="13" l="1"/>
  <c r="AV11" i="13"/>
  <c r="AX11" i="14"/>
  <c r="AW11" i="14"/>
  <c r="AY11" i="14" s="1"/>
  <c r="X12" i="12"/>
  <c r="AQ4" i="6"/>
  <c r="AT4" i="6" s="1"/>
  <c r="AR4" i="6"/>
  <c r="AX11" i="13" l="1"/>
  <c r="AW11" i="13"/>
  <c r="AY11" i="13" s="1"/>
  <c r="AZ11" i="14"/>
  <c r="BA11" i="14" s="1"/>
  <c r="W12" i="14" s="1"/>
  <c r="X12" i="14" s="1"/>
  <c r="AJ12" i="12"/>
  <c r="AN12" i="12" s="1"/>
  <c r="AI12" i="12"/>
  <c r="T13" i="12"/>
  <c r="U13" i="12" s="1"/>
  <c r="AU4" i="6"/>
  <c r="AV4" i="6"/>
  <c r="AZ11" i="13" l="1"/>
  <c r="BA11" i="13" s="1"/>
  <c r="W12" i="13" s="1"/>
  <c r="X12" i="13" s="1"/>
  <c r="AJ12" i="14"/>
  <c r="AN12" i="14" s="1"/>
  <c r="AI12" i="14"/>
  <c r="T13" i="14"/>
  <c r="U13" i="14" s="1"/>
  <c r="AM12" i="14"/>
  <c r="AK12" i="14"/>
  <c r="AO12" i="14" s="1"/>
  <c r="AM12" i="12"/>
  <c r="AK12" i="12"/>
  <c r="AO12" i="12" s="1"/>
  <c r="AP12" i="12" s="1"/>
  <c r="AW4" i="6"/>
  <c r="AX4" i="6"/>
  <c r="AI12" i="13" l="1"/>
  <c r="T13" i="13"/>
  <c r="U13" i="13" s="1"/>
  <c r="AJ12" i="13"/>
  <c r="AN12" i="13" s="1"/>
  <c r="AP12" i="14"/>
  <c r="AS12" i="14"/>
  <c r="AL12" i="14"/>
  <c r="AM12" i="13"/>
  <c r="AK12" i="13"/>
  <c r="AO12" i="13" s="1"/>
  <c r="AT12" i="12"/>
  <c r="AQ12" i="12"/>
  <c r="AR12" i="12"/>
  <c r="AV12" i="12"/>
  <c r="AS12" i="12"/>
  <c r="AU12" i="12" s="1"/>
  <c r="AL12" i="12"/>
  <c r="AY4" i="6"/>
  <c r="AZ4" i="6"/>
  <c r="BA4" i="6" s="1"/>
  <c r="AQ12" i="14" l="1"/>
  <c r="AT12" i="14" s="1"/>
  <c r="AR12" i="14"/>
  <c r="AP12" i="13"/>
  <c r="AL12" i="13"/>
  <c r="AS12" i="13"/>
  <c r="AX12" i="12"/>
  <c r="AW12" i="12"/>
  <c r="AY12" i="12" s="1"/>
  <c r="AZ12" i="12"/>
  <c r="AU12" i="14" l="1"/>
  <c r="AV12" i="14"/>
  <c r="AQ12" i="13"/>
  <c r="AT12" i="13" s="1"/>
  <c r="AR12" i="13"/>
  <c r="BA12" i="12"/>
  <c r="W13" i="12" s="1"/>
  <c r="X13" i="12" s="1"/>
  <c r="AU12" i="13" l="1"/>
  <c r="AV12" i="13"/>
  <c r="AX12" i="14"/>
  <c r="AW12" i="14"/>
  <c r="AZ12" i="14" s="1"/>
  <c r="AJ13" i="12"/>
  <c r="AN13" i="12" s="1"/>
  <c r="AI13" i="12"/>
  <c r="T14" i="12"/>
  <c r="U14" i="12" s="1"/>
  <c r="AX12" i="13" l="1"/>
  <c r="AW12" i="13"/>
  <c r="AZ12" i="13" s="1"/>
  <c r="AY12" i="13"/>
  <c r="BA12" i="13" s="1"/>
  <c r="W13" i="13" s="1"/>
  <c r="AY12" i="14"/>
  <c r="BA12" i="14" s="1"/>
  <c r="W13" i="14" s="1"/>
  <c r="X13" i="14" s="1"/>
  <c r="AJ13" i="14"/>
  <c r="AN13" i="14" s="1"/>
  <c r="AI13" i="14"/>
  <c r="T14" i="14"/>
  <c r="U14" i="14" s="1"/>
  <c r="X13" i="13"/>
  <c r="AM13" i="12"/>
  <c r="AK13" i="12"/>
  <c r="AO13" i="12" s="1"/>
  <c r="AP13" i="12"/>
  <c r="AT13" i="12" s="1"/>
  <c r="AM13" i="14" l="1"/>
  <c r="AK13" i="14"/>
  <c r="AO13" i="14" s="1"/>
  <c r="AJ13" i="13"/>
  <c r="AN13" i="13" s="1"/>
  <c r="AI13" i="13"/>
  <c r="T14" i="13"/>
  <c r="U14" i="13" s="1"/>
  <c r="AQ13" i="12"/>
  <c r="AR13" i="12"/>
  <c r="AV13" i="12"/>
  <c r="AS13" i="12"/>
  <c r="AU13" i="12" s="1"/>
  <c r="AL13" i="12"/>
  <c r="AP13" i="14" l="1"/>
  <c r="AS13" i="14"/>
  <c r="AL13" i="14"/>
  <c r="AM13" i="13"/>
  <c r="AK13" i="13"/>
  <c r="AO13" i="13" s="1"/>
  <c r="AX13" i="12"/>
  <c r="AW13" i="12"/>
  <c r="AZ13" i="12"/>
  <c r="AY13" i="12"/>
  <c r="AQ13" i="14" l="1"/>
  <c r="AT13" i="14" s="1"/>
  <c r="AR13" i="14"/>
  <c r="AP13" i="13"/>
  <c r="AS13" i="13"/>
  <c r="AL13" i="13"/>
  <c r="BA13" i="12"/>
  <c r="W14" i="12" s="1"/>
  <c r="X14" i="12"/>
  <c r="AU13" i="14" l="1"/>
  <c r="AV13" i="14" s="1"/>
  <c r="AQ13" i="13"/>
  <c r="AT13" i="13" s="1"/>
  <c r="AR13" i="13"/>
  <c r="AJ14" i="12"/>
  <c r="AN14" i="12" s="1"/>
  <c r="AI14" i="12"/>
  <c r="T15" i="12"/>
  <c r="U15" i="12" s="1"/>
  <c r="AU13" i="13" l="1"/>
  <c r="AV13" i="13"/>
  <c r="AX13" i="14"/>
  <c r="AW13" i="14"/>
  <c r="AM14" i="12"/>
  <c r="AK14" i="12"/>
  <c r="AO14" i="12" s="1"/>
  <c r="AX13" i="13" l="1"/>
  <c r="AW13" i="13"/>
  <c r="AY13" i="13" s="1"/>
  <c r="AZ13" i="13"/>
  <c r="BA13" i="13" s="1"/>
  <c r="W14" i="13" s="1"/>
  <c r="X14" i="13" s="1"/>
  <c r="AZ13" i="14"/>
  <c r="AY13" i="14"/>
  <c r="AL14" i="12"/>
  <c r="AV14" i="12"/>
  <c r="AS14" i="12"/>
  <c r="AP14" i="12"/>
  <c r="BA13" i="14" l="1"/>
  <c r="W14" i="14" s="1"/>
  <c r="X14" i="14" s="1"/>
  <c r="AJ14" i="14" s="1"/>
  <c r="AN14" i="14" s="1"/>
  <c r="T15" i="14"/>
  <c r="U15" i="14" s="1"/>
  <c r="AI14" i="14"/>
  <c r="AM14" i="14" s="1"/>
  <c r="AK14" i="14"/>
  <c r="AO14" i="14" s="1"/>
  <c r="AP14" i="14" s="1"/>
  <c r="AJ14" i="13"/>
  <c r="AN14" i="13" s="1"/>
  <c r="AI14" i="13"/>
  <c r="T15" i="13"/>
  <c r="U15" i="13" s="1"/>
  <c r="AW14" i="12"/>
  <c r="AY14" i="12"/>
  <c r="AZ14" i="12"/>
  <c r="AX14" i="12"/>
  <c r="AT14" i="12"/>
  <c r="AQ14" i="12"/>
  <c r="AU14" i="12"/>
  <c r="AR14" i="12"/>
  <c r="AQ14" i="14" l="1"/>
  <c r="AT14" i="14" s="1"/>
  <c r="AR14" i="14"/>
  <c r="AL14" i="14"/>
  <c r="AS14" i="14"/>
  <c r="AM14" i="13"/>
  <c r="AK14" i="13"/>
  <c r="AO14" i="13" s="1"/>
  <c r="BA14" i="12"/>
  <c r="W15" i="12" s="1"/>
  <c r="AU14" i="14" l="1"/>
  <c r="AV14" i="14"/>
  <c r="AP14" i="13"/>
  <c r="AS14" i="13"/>
  <c r="AL14" i="13"/>
  <c r="X15" i="12"/>
  <c r="AX14" i="14" l="1"/>
  <c r="AW14" i="14"/>
  <c r="AZ14" i="14" s="1"/>
  <c r="AQ14" i="13"/>
  <c r="AT14" i="13" s="1"/>
  <c r="AR14" i="13"/>
  <c r="AJ15" i="12"/>
  <c r="AN15" i="12" s="1"/>
  <c r="AI15" i="12"/>
  <c r="T16" i="12"/>
  <c r="U16" i="12" s="1"/>
  <c r="AY14" i="14" l="1"/>
  <c r="BA14" i="14" s="1"/>
  <c r="W15" i="14" s="1"/>
  <c r="AU14" i="13"/>
  <c r="AV14" i="13" s="1"/>
  <c r="AM15" i="12"/>
  <c r="AK15" i="12"/>
  <c r="AO15" i="12" s="1"/>
  <c r="X15" i="14" l="1"/>
  <c r="AW14" i="13"/>
  <c r="AZ14" i="13" s="1"/>
  <c r="AX14" i="13"/>
  <c r="AY14" i="13"/>
  <c r="BA14" i="13" s="1"/>
  <c r="W15" i="13" s="1"/>
  <c r="X15" i="13" s="1"/>
  <c r="AL15" i="12"/>
  <c r="AV15" i="12"/>
  <c r="AS15" i="12"/>
  <c r="AP15" i="12"/>
  <c r="AJ15" i="14" l="1"/>
  <c r="AN15" i="14" s="1"/>
  <c r="AI15" i="14"/>
  <c r="T16" i="14"/>
  <c r="U16" i="14" s="1"/>
  <c r="AJ15" i="13"/>
  <c r="AN15" i="13" s="1"/>
  <c r="AI15" i="13"/>
  <c r="T16" i="13"/>
  <c r="U16" i="13" s="1"/>
  <c r="AX15" i="12"/>
  <c r="AW15" i="12"/>
  <c r="AZ15" i="12" s="1"/>
  <c r="AT15" i="12"/>
  <c r="AU15" i="12" s="1"/>
  <c r="AQ15" i="12"/>
  <c r="AR15" i="12"/>
  <c r="AK15" i="14" l="1"/>
  <c r="AO15" i="14" s="1"/>
  <c r="AM15" i="14"/>
  <c r="AL15" i="14"/>
  <c r="AP15" i="14"/>
  <c r="AM15" i="13"/>
  <c r="AK15" i="13"/>
  <c r="AO15" i="13" s="1"/>
  <c r="AP15" i="13" s="1"/>
  <c r="AY15" i="12"/>
  <c r="BA15" i="12" s="1"/>
  <c r="W16" i="12" s="1"/>
  <c r="AQ15" i="14" l="1"/>
  <c r="AT15" i="14" s="1"/>
  <c r="AS15" i="14"/>
  <c r="AR15" i="14"/>
  <c r="AQ15" i="13"/>
  <c r="AT15" i="13" s="1"/>
  <c r="AS15" i="13"/>
  <c r="AR15" i="13"/>
  <c r="AL15" i="13"/>
  <c r="X16" i="12"/>
  <c r="AU15" i="14" l="1"/>
  <c r="AV15" i="14" s="1"/>
  <c r="AU15" i="13"/>
  <c r="AV15" i="13" s="1"/>
  <c r="AJ16" i="12"/>
  <c r="AN16" i="12" s="1"/>
  <c r="AI16" i="12"/>
  <c r="T17" i="12"/>
  <c r="U17" i="12" s="1"/>
  <c r="AX15" i="14" l="1"/>
  <c r="AW15" i="14"/>
  <c r="AY15" i="14" s="1"/>
  <c r="AX15" i="13"/>
  <c r="AW15" i="13"/>
  <c r="AZ15" i="13" s="1"/>
  <c r="AY15" i="13"/>
  <c r="AM16" i="12"/>
  <c r="AK16" i="12"/>
  <c r="AO16" i="12" s="1"/>
  <c r="BA15" i="13" l="1"/>
  <c r="W16" i="13" s="1"/>
  <c r="X16" i="13" s="1"/>
  <c r="AZ15" i="14"/>
  <c r="BA15" i="14" s="1"/>
  <c r="W16" i="14" s="1"/>
  <c r="AP16" i="12"/>
  <c r="AL16" i="12"/>
  <c r="AV16" i="12"/>
  <c r="AS16" i="12"/>
  <c r="X16" i="14" l="1"/>
  <c r="AJ16" i="13"/>
  <c r="AN16" i="13" s="1"/>
  <c r="AI16" i="13"/>
  <c r="T17" i="13"/>
  <c r="U17" i="13" s="1"/>
  <c r="AT16" i="12"/>
  <c r="AU16" i="12" s="1"/>
  <c r="AQ16" i="12"/>
  <c r="AW16" i="12"/>
  <c r="AY16" i="12" s="1"/>
  <c r="AX16" i="12"/>
  <c r="AR16" i="12"/>
  <c r="AJ16" i="14" l="1"/>
  <c r="AN16" i="14" s="1"/>
  <c r="AI16" i="14"/>
  <c r="T17" i="14"/>
  <c r="U17" i="14" s="1"/>
  <c r="AM16" i="13"/>
  <c r="AK16" i="13"/>
  <c r="AO16" i="13" s="1"/>
  <c r="AZ16" i="12"/>
  <c r="BA16" i="12" s="1"/>
  <c r="W17" i="12" s="1"/>
  <c r="AM16" i="14" l="1"/>
  <c r="AK16" i="14"/>
  <c r="AO16" i="14" s="1"/>
  <c r="AL16" i="13"/>
  <c r="AP16" i="13"/>
  <c r="AS16" i="13"/>
  <c r="X17" i="12"/>
  <c r="AP16" i="14" l="1"/>
  <c r="AS16" i="14"/>
  <c r="AL16" i="14"/>
  <c r="AQ16" i="13"/>
  <c r="AT16" i="13" s="1"/>
  <c r="AR16" i="13"/>
  <c r="AJ17" i="12"/>
  <c r="AN17" i="12" s="1"/>
  <c r="AI17" i="12"/>
  <c r="T18" i="12"/>
  <c r="U18" i="12" s="1"/>
  <c r="AQ16" i="14" l="1"/>
  <c r="AT16" i="14" s="1"/>
  <c r="AR16" i="14"/>
  <c r="AU16" i="13"/>
  <c r="AV16" i="13"/>
  <c r="AM17" i="12"/>
  <c r="AK17" i="12"/>
  <c r="AO17" i="12" s="1"/>
  <c r="AU16" i="14" l="1"/>
  <c r="AV16" i="14" s="1"/>
  <c r="AW16" i="13"/>
  <c r="AX16" i="13"/>
  <c r="AP17" i="12"/>
  <c r="AV17" i="12"/>
  <c r="AS17" i="12"/>
  <c r="AL17" i="12"/>
  <c r="AX16" i="14" l="1"/>
  <c r="AW16" i="14"/>
  <c r="AY16" i="14" s="1"/>
  <c r="AY16" i="13"/>
  <c r="AZ16" i="13"/>
  <c r="BA16" i="13" s="1"/>
  <c r="W17" i="13" s="1"/>
  <c r="X17" i="13" s="1"/>
  <c r="AJ17" i="13" s="1"/>
  <c r="AN17" i="13" s="1"/>
  <c r="AX17" i="12"/>
  <c r="AW17" i="12"/>
  <c r="AY17" i="12" s="1"/>
  <c r="AT17" i="12"/>
  <c r="AU17" i="12" s="1"/>
  <c r="AQ17" i="12"/>
  <c r="AR17" i="12"/>
  <c r="T18" i="13" l="1"/>
  <c r="U18" i="13" s="1"/>
  <c r="AI17" i="13"/>
  <c r="AM17" i="13" s="1"/>
  <c r="AZ16" i="14"/>
  <c r="BA16" i="14"/>
  <c r="W17" i="14" s="1"/>
  <c r="X17" i="14" s="1"/>
  <c r="AK17" i="13"/>
  <c r="AO17" i="13" s="1"/>
  <c r="AP17" i="13" s="1"/>
  <c r="AQ17" i="13" s="1"/>
  <c r="AZ17" i="12"/>
  <c r="BA17" i="12" s="1"/>
  <c r="W18" i="12" s="1"/>
  <c r="AI17" i="14" l="1"/>
  <c r="AJ17" i="14"/>
  <c r="AN17" i="14" s="1"/>
  <c r="T18" i="14"/>
  <c r="U18" i="14" s="1"/>
  <c r="AT17" i="13"/>
  <c r="AR17" i="13"/>
  <c r="AL17" i="13"/>
  <c r="AS17" i="13"/>
  <c r="AU17" i="13" s="1"/>
  <c r="X18" i="12"/>
  <c r="AK17" i="14" l="1"/>
  <c r="AO17" i="14" s="1"/>
  <c r="AM17" i="14"/>
  <c r="AL17" i="14"/>
  <c r="AV17" i="13"/>
  <c r="AX17" i="13" s="1"/>
  <c r="AW17" i="13"/>
  <c r="AZ17" i="13" s="1"/>
  <c r="AY17" i="13"/>
  <c r="AJ18" i="12"/>
  <c r="AN18" i="12" s="1"/>
  <c r="AI18" i="12"/>
  <c r="T19" i="12"/>
  <c r="U19" i="12" s="1"/>
  <c r="AS17" i="14" l="1"/>
  <c r="AP17" i="14"/>
  <c r="BA17" i="13"/>
  <c r="W18" i="13" s="1"/>
  <c r="AM18" i="12"/>
  <c r="AK18" i="12"/>
  <c r="AO18" i="12" s="1"/>
  <c r="AP18" i="12" s="1"/>
  <c r="AQ17" i="14" l="1"/>
  <c r="AT17" i="14" s="1"/>
  <c r="AR17" i="14"/>
  <c r="X18" i="13"/>
  <c r="AQ18" i="12"/>
  <c r="AT18" i="12" s="1"/>
  <c r="AS18" i="12"/>
  <c r="AR18" i="12"/>
  <c r="AL18" i="12"/>
  <c r="AU17" i="14" l="1"/>
  <c r="AV17" i="14" s="1"/>
  <c r="AJ18" i="13"/>
  <c r="AN18" i="13" s="1"/>
  <c r="AI18" i="13"/>
  <c r="T19" i="13"/>
  <c r="U19" i="13" s="1"/>
  <c r="AU18" i="12"/>
  <c r="AV18" i="12" s="1"/>
  <c r="AW17" i="14" l="1"/>
  <c r="AX17" i="14"/>
  <c r="AY17" i="14"/>
  <c r="AZ17" i="14"/>
  <c r="AM18" i="13"/>
  <c r="AK18" i="13"/>
  <c r="AO18" i="13" s="1"/>
  <c r="AP18" i="13"/>
  <c r="AQ18" i="13" s="1"/>
  <c r="AW18" i="12"/>
  <c r="AZ18" i="12" s="1"/>
  <c r="AX18" i="12"/>
  <c r="AY18" i="12"/>
  <c r="BA18" i="12" s="1"/>
  <c r="W19" i="12" s="1"/>
  <c r="BA17" i="14" l="1"/>
  <c r="W18" i="14" s="1"/>
  <c r="AT18" i="13"/>
  <c r="AR18" i="13"/>
  <c r="AL18" i="13"/>
  <c r="AS18" i="13"/>
  <c r="AU18" i="13" s="1"/>
  <c r="X19" i="12"/>
  <c r="X18" i="14" l="1"/>
  <c r="AV18" i="13"/>
  <c r="AJ19" i="12"/>
  <c r="AN19" i="12" s="1"/>
  <c r="AI19" i="12"/>
  <c r="T20" i="12"/>
  <c r="U20" i="12" s="1"/>
  <c r="AI18" i="14" l="1"/>
  <c r="AJ18" i="14"/>
  <c r="AN18" i="14" s="1"/>
  <c r="T19" i="14"/>
  <c r="U19" i="14" s="1"/>
  <c r="AW18" i="13"/>
  <c r="AY18" i="13" s="1"/>
  <c r="AZ18" i="13"/>
  <c r="AX18" i="13"/>
  <c r="AM19" i="12"/>
  <c r="AK19" i="12"/>
  <c r="AO19" i="12" s="1"/>
  <c r="AP19" i="12"/>
  <c r="AK18" i="14" l="1"/>
  <c r="AO18" i="14" s="1"/>
  <c r="AP18" i="14" s="1"/>
  <c r="AM18" i="14"/>
  <c r="AL18" i="14"/>
  <c r="BA18" i="13"/>
  <c r="W19" i="13" s="1"/>
  <c r="AQ19" i="12"/>
  <c r="AT19" i="12" s="1"/>
  <c r="AR19" i="12"/>
  <c r="AL19" i="12"/>
  <c r="AS19" i="12"/>
  <c r="AQ18" i="14" l="1"/>
  <c r="AT18" i="14" s="1"/>
  <c r="AS18" i="14"/>
  <c r="AR18" i="14"/>
  <c r="X19" i="13"/>
  <c r="AU19" i="12"/>
  <c r="AV19" i="12"/>
  <c r="AX19" i="12"/>
  <c r="AW19" i="12"/>
  <c r="AZ19" i="12" s="1"/>
  <c r="AU18" i="14" l="1"/>
  <c r="AV18" i="14" s="1"/>
  <c r="AJ19" i="13"/>
  <c r="AN19" i="13" s="1"/>
  <c r="AI19" i="13"/>
  <c r="T20" i="13"/>
  <c r="U20" i="13" s="1"/>
  <c r="AY19" i="12"/>
  <c r="BA19" i="12" s="1"/>
  <c r="W20" i="12" s="1"/>
  <c r="AW18" i="14" l="1"/>
  <c r="AZ18" i="14" s="1"/>
  <c r="AY18" i="14"/>
  <c r="AX18" i="14"/>
  <c r="AM19" i="13"/>
  <c r="AK19" i="13"/>
  <c r="AO19" i="13" s="1"/>
  <c r="X20" i="12"/>
  <c r="BA18" i="14" l="1"/>
  <c r="W19" i="14" s="1"/>
  <c r="AP19" i="13"/>
  <c r="AL19" i="13"/>
  <c r="AS19" i="13"/>
  <c r="AJ20" i="12"/>
  <c r="AN20" i="12" s="1"/>
  <c r="AI20" i="12"/>
  <c r="T21" i="12"/>
  <c r="U21" i="12" s="1"/>
  <c r="X19" i="14" l="1"/>
  <c r="AQ19" i="13"/>
  <c r="AT19" i="13" s="1"/>
  <c r="AR19" i="13"/>
  <c r="AM20" i="12"/>
  <c r="AK20" i="12"/>
  <c r="AO20" i="12" s="1"/>
  <c r="AP20" i="12"/>
  <c r="AJ19" i="14" l="1"/>
  <c r="AN19" i="14" s="1"/>
  <c r="AI19" i="14"/>
  <c r="T20" i="14"/>
  <c r="U20" i="14" s="1"/>
  <c r="AU19" i="13"/>
  <c r="AV19" i="13"/>
  <c r="AQ20" i="12"/>
  <c r="AT20" i="12" s="1"/>
  <c r="AS20" i="12"/>
  <c r="AR20" i="12"/>
  <c r="AL20" i="12"/>
  <c r="AM19" i="14" l="1"/>
  <c r="AK19" i="14"/>
  <c r="AO19" i="14" s="1"/>
  <c r="AP19" i="14" s="1"/>
  <c r="AW19" i="13"/>
  <c r="AX19" i="13"/>
  <c r="AZ19" i="13"/>
  <c r="AY19" i="13"/>
  <c r="AU20" i="12"/>
  <c r="AV20" i="12"/>
  <c r="AX20" i="12"/>
  <c r="AW20" i="12"/>
  <c r="AZ20" i="12" s="1"/>
  <c r="AQ19" i="14" l="1"/>
  <c r="AT19" i="14" s="1"/>
  <c r="AR19" i="14"/>
  <c r="AL19" i="14"/>
  <c r="AS19" i="14"/>
  <c r="BA19" i="13"/>
  <c r="W20" i="13" s="1"/>
  <c r="AY20" i="12"/>
  <c r="BA20" i="12" s="1"/>
  <c r="W21" i="12" s="1"/>
  <c r="AU19" i="14" l="1"/>
  <c r="AV19" i="14"/>
  <c r="X20" i="13"/>
  <c r="X21" i="12"/>
  <c r="AX19" i="14" l="1"/>
  <c r="AW19" i="14"/>
  <c r="AZ19" i="14" s="1"/>
  <c r="AJ20" i="13"/>
  <c r="AN20" i="13" s="1"/>
  <c r="AI20" i="13"/>
  <c r="T21" i="13"/>
  <c r="U21" i="13" s="1"/>
  <c r="AJ21" i="12"/>
  <c r="AN21" i="12" s="1"/>
  <c r="AI21" i="12"/>
  <c r="T22" i="12"/>
  <c r="U22" i="12" s="1"/>
  <c r="AY19" i="14" l="1"/>
  <c r="BA19" i="14" s="1"/>
  <c r="W20" i="14" s="1"/>
  <c r="AM20" i="13"/>
  <c r="AK20" i="13"/>
  <c r="AO20" i="13" s="1"/>
  <c r="AM21" i="12"/>
  <c r="AK21" i="12"/>
  <c r="AO21" i="12" s="1"/>
  <c r="AP21" i="12"/>
  <c r="X20" i="14" l="1"/>
  <c r="AL20" i="13"/>
  <c r="AP20" i="13"/>
  <c r="AS20" i="13"/>
  <c r="AQ21" i="12"/>
  <c r="AT21" i="12" s="1"/>
  <c r="AR21" i="12"/>
  <c r="AL21" i="12"/>
  <c r="AS21" i="12"/>
  <c r="AJ20" i="14" l="1"/>
  <c r="AN20" i="14" s="1"/>
  <c r="AI20" i="14"/>
  <c r="T21" i="14"/>
  <c r="U21" i="14" s="1"/>
  <c r="AQ20" i="13"/>
  <c r="AT20" i="13" s="1"/>
  <c r="AR20" i="13"/>
  <c r="AU21" i="12"/>
  <c r="AV21" i="12"/>
  <c r="AX21" i="12"/>
  <c r="AW21" i="12"/>
  <c r="AY21" i="12"/>
  <c r="AZ21" i="12"/>
  <c r="AM20" i="14" l="1"/>
  <c r="AK20" i="14"/>
  <c r="AO20" i="14" s="1"/>
  <c r="AU20" i="13"/>
  <c r="AV20" i="13"/>
  <c r="BA21" i="12"/>
  <c r="W22" i="12" s="1"/>
  <c r="AS20" i="14" l="1"/>
  <c r="AP20" i="14"/>
  <c r="AL20" i="14"/>
  <c r="AW20" i="13"/>
  <c r="AX20" i="13"/>
  <c r="AZ20" i="13"/>
  <c r="AY20" i="13"/>
  <c r="X22" i="12"/>
  <c r="AQ20" i="14" l="1"/>
  <c r="AT20" i="14" s="1"/>
  <c r="AR20" i="14"/>
  <c r="BA20" i="13"/>
  <c r="W21" i="13" s="1"/>
  <c r="X21" i="13"/>
  <c r="AJ22" i="12"/>
  <c r="AN22" i="12" s="1"/>
  <c r="AI22" i="12"/>
  <c r="T23" i="12"/>
  <c r="U23" i="12" s="1"/>
  <c r="AU20" i="14" l="1"/>
  <c r="AV20" i="14" s="1"/>
  <c r="AJ21" i="13"/>
  <c r="AN21" i="13" s="1"/>
  <c r="AI21" i="13"/>
  <c r="T22" i="13"/>
  <c r="U22" i="13" s="1"/>
  <c r="AM22" i="12"/>
  <c r="AK22" i="12"/>
  <c r="AO22" i="12" s="1"/>
  <c r="AW20" i="14" l="1"/>
  <c r="AZ20" i="14" s="1"/>
  <c r="AX20" i="14"/>
  <c r="AY20" i="14"/>
  <c r="AM21" i="13"/>
  <c r="AK21" i="13"/>
  <c r="AO21" i="13" s="1"/>
  <c r="AP22" i="12"/>
  <c r="AL22" i="12"/>
  <c r="AS22" i="12"/>
  <c r="BA20" i="14" l="1"/>
  <c r="W21" i="14" s="1"/>
  <c r="AP21" i="13"/>
  <c r="AS21" i="13"/>
  <c r="AL21" i="13"/>
  <c r="AQ22" i="12"/>
  <c r="AT22" i="12" s="1"/>
  <c r="AR22" i="12"/>
  <c r="X21" i="14" l="1"/>
  <c r="AQ21" i="13"/>
  <c r="AT21" i="13" s="1"/>
  <c r="AR21" i="13"/>
  <c r="AU22" i="12"/>
  <c r="AV22" i="12"/>
  <c r="AJ21" i="14" l="1"/>
  <c r="AN21" i="14" s="1"/>
  <c r="AI21" i="14"/>
  <c r="AK21" i="14" s="1"/>
  <c r="AO21" i="14" s="1"/>
  <c r="T22" i="14"/>
  <c r="U22" i="14" s="1"/>
  <c r="AU21" i="13"/>
  <c r="AV21" i="13" s="1"/>
  <c r="AX22" i="12"/>
  <c r="AW22" i="12"/>
  <c r="AZ22" i="12" s="1"/>
  <c r="AL21" i="14" l="1"/>
  <c r="AM21" i="14"/>
  <c r="AP21" i="14"/>
  <c r="AR21" i="14" s="1"/>
  <c r="AW21" i="13"/>
  <c r="AZ21" i="13" s="1"/>
  <c r="AX21" i="13"/>
  <c r="AY22" i="12"/>
  <c r="BA22" i="12" s="1"/>
  <c r="W23" i="12" s="1"/>
  <c r="X23" i="12" s="1"/>
  <c r="AS21" i="14" l="1"/>
  <c r="AQ21" i="14"/>
  <c r="AT21" i="14" s="1"/>
  <c r="AY21" i="13"/>
  <c r="BA21" i="13" s="1"/>
  <c r="W22" i="13" s="1"/>
  <c r="AJ23" i="12"/>
  <c r="AN23" i="12" s="1"/>
  <c r="AI23" i="12"/>
  <c r="T24" i="12"/>
  <c r="U24" i="12" s="1"/>
  <c r="AU21" i="14" l="1"/>
  <c r="AV21" i="14"/>
  <c r="X22" i="13"/>
  <c r="AM23" i="12"/>
  <c r="AK23" i="12"/>
  <c r="AX21" i="14" l="1"/>
  <c r="AW21" i="14"/>
  <c r="AZ21" i="14" s="1"/>
  <c r="AJ22" i="13"/>
  <c r="AN22" i="13" s="1"/>
  <c r="AI22" i="13"/>
  <c r="T23" i="13"/>
  <c r="U23" i="13" s="1"/>
  <c r="AO23" i="12"/>
  <c r="AL23" i="12"/>
  <c r="AS23" i="12"/>
  <c r="AY21" i="14" l="1"/>
  <c r="BA21" i="14" s="1"/>
  <c r="W22" i="14" s="1"/>
  <c r="AM22" i="13"/>
  <c r="AK22" i="13"/>
  <c r="AO22" i="13" s="1"/>
  <c r="AP22" i="13"/>
  <c r="AP23" i="12"/>
  <c r="AR23" i="12"/>
  <c r="X22" i="14" l="1"/>
  <c r="AQ22" i="13"/>
  <c r="AT22" i="13" s="1"/>
  <c r="AR22" i="13"/>
  <c r="AS22" i="13"/>
  <c r="AL22" i="13"/>
  <c r="AQ23" i="12"/>
  <c r="AT23" i="12" s="1"/>
  <c r="AJ22" i="14" l="1"/>
  <c r="AN22" i="14" s="1"/>
  <c r="AI22" i="14"/>
  <c r="T23" i="14"/>
  <c r="U23" i="14" s="1"/>
  <c r="AU22" i="13"/>
  <c r="AV22" i="13"/>
  <c r="AU23" i="12"/>
  <c r="AV23" i="12"/>
  <c r="AM22" i="14" l="1"/>
  <c r="AK22" i="14"/>
  <c r="AO22" i="14" s="1"/>
  <c r="AP22" i="14" s="1"/>
  <c r="AQ22" i="14" s="1"/>
  <c r="AX22" i="13"/>
  <c r="AW22" i="13"/>
  <c r="AY22" i="13" s="1"/>
  <c r="AX23" i="12"/>
  <c r="AW23" i="12"/>
  <c r="AZ23" i="12" s="1"/>
  <c r="AY23" i="12"/>
  <c r="BA23" i="12" s="1"/>
  <c r="W24" i="12" s="1"/>
  <c r="X24" i="12" s="1"/>
  <c r="AZ22" i="13" l="1"/>
  <c r="AT22" i="14"/>
  <c r="AR22" i="14"/>
  <c r="AL22" i="14"/>
  <c r="AS22" i="14"/>
  <c r="AU22" i="14" s="1"/>
  <c r="BA22" i="13"/>
  <c r="W23" i="13" s="1"/>
  <c r="X23" i="13"/>
  <c r="AJ24" i="12"/>
  <c r="AN24" i="12" s="1"/>
  <c r="T25" i="12"/>
  <c r="U25" i="12" s="1"/>
  <c r="AI24" i="12"/>
  <c r="AK24" i="12"/>
  <c r="AO24" i="12" s="1"/>
  <c r="AV22" i="14" l="1"/>
  <c r="AJ23" i="13"/>
  <c r="AN23" i="13" s="1"/>
  <c r="AI23" i="13"/>
  <c r="T24" i="13"/>
  <c r="U24" i="13" s="1"/>
  <c r="AM24" i="12"/>
  <c r="AL24" i="12"/>
  <c r="AP24" i="12"/>
  <c r="AX22" i="14" l="1"/>
  <c r="AW22" i="14"/>
  <c r="AY22" i="14" s="1"/>
  <c r="AZ22" i="14"/>
  <c r="AM23" i="13"/>
  <c r="AK23" i="13"/>
  <c r="AO23" i="13" s="1"/>
  <c r="AQ24" i="12"/>
  <c r="AT24" i="12" s="1"/>
  <c r="AU24" i="12" s="1"/>
  <c r="AS24" i="12"/>
  <c r="AV24" i="12" s="1"/>
  <c r="AR24" i="12"/>
  <c r="BA22" i="14" l="1"/>
  <c r="W23" i="14" s="1"/>
  <c r="AP23" i="13"/>
  <c r="AS23" i="13"/>
  <c r="AL23" i="13"/>
  <c r="AW24" i="12"/>
  <c r="AZ24" i="12" s="1"/>
  <c r="AY24" i="12"/>
  <c r="AX24" i="12"/>
  <c r="X23" i="14" l="1"/>
  <c r="AQ23" i="13"/>
  <c r="AT23" i="13" s="1"/>
  <c r="AR23" i="13"/>
  <c r="BA24" i="12"/>
  <c r="W25" i="12" s="1"/>
  <c r="X25" i="12" s="1"/>
  <c r="AJ23" i="14" l="1"/>
  <c r="AN23" i="14" s="1"/>
  <c r="AI23" i="14"/>
  <c r="T24" i="14"/>
  <c r="U24" i="14" s="1"/>
  <c r="AU23" i="13"/>
  <c r="AV23" i="13"/>
  <c r="AJ25" i="12"/>
  <c r="AN25" i="12" s="1"/>
  <c r="T26" i="12"/>
  <c r="U26" i="12" s="1"/>
  <c r="AI25" i="12"/>
  <c r="AM23" i="14" l="1"/>
  <c r="AK23" i="14"/>
  <c r="AO23" i="14" s="1"/>
  <c r="AX23" i="13"/>
  <c r="AW23" i="13"/>
  <c r="AY23" i="13" s="1"/>
  <c r="AZ23" i="13"/>
  <c r="AM25" i="12"/>
  <c r="AS25" i="12" s="1"/>
  <c r="AK25" i="12"/>
  <c r="AL23" i="14" l="1"/>
  <c r="AP23" i="14"/>
  <c r="AS23" i="14"/>
  <c r="BA23" i="13"/>
  <c r="W24" i="13" s="1"/>
  <c r="AO25" i="12"/>
  <c r="AL25" i="12"/>
  <c r="AQ23" i="14" l="1"/>
  <c r="AT23" i="14" s="1"/>
  <c r="AR23" i="14"/>
  <c r="X24" i="13"/>
  <c r="AP25" i="12"/>
  <c r="AQ25" i="12" s="1"/>
  <c r="AT25" i="12" s="1"/>
  <c r="AU23" i="14" l="1"/>
  <c r="AV23" i="14"/>
  <c r="AJ24" i="13"/>
  <c r="AN24" i="13" s="1"/>
  <c r="AI24" i="13"/>
  <c r="T25" i="13"/>
  <c r="U25" i="13" s="1"/>
  <c r="AR25" i="12"/>
  <c r="AV25" i="12"/>
  <c r="AU25" i="12"/>
  <c r="AW23" i="14" l="1"/>
  <c r="AX23" i="14"/>
  <c r="AY23" i="14"/>
  <c r="AZ23" i="14"/>
  <c r="AM24" i="13"/>
  <c r="AK24" i="13"/>
  <c r="AO24" i="13" s="1"/>
  <c r="AP24" i="13"/>
  <c r="AQ24" i="13"/>
  <c r="AX25" i="12"/>
  <c r="AW25" i="12"/>
  <c r="AZ25" i="12" s="1"/>
  <c r="AY25" i="12"/>
  <c r="BA25" i="12" s="1"/>
  <c r="W26" i="12" s="1"/>
  <c r="X26" i="12"/>
  <c r="BA23" i="14" l="1"/>
  <c r="W24" i="14" s="1"/>
  <c r="AT24" i="13"/>
  <c r="AR24" i="13"/>
  <c r="AL24" i="13"/>
  <c r="AS24" i="13"/>
  <c r="AJ26" i="12"/>
  <c r="AN26" i="12" s="1"/>
  <c r="AI26" i="12"/>
  <c r="T27" i="12"/>
  <c r="U27" i="12" s="1"/>
  <c r="X24" i="14" l="1"/>
  <c r="AU24" i="13"/>
  <c r="AV24" i="13"/>
  <c r="AM26" i="12"/>
  <c r="AK26" i="12"/>
  <c r="AO26" i="12" s="1"/>
  <c r="AP26" i="12" s="1"/>
  <c r="AJ24" i="14" l="1"/>
  <c r="AN24" i="14" s="1"/>
  <c r="AI24" i="14"/>
  <c r="T25" i="14"/>
  <c r="U25" i="14" s="1"/>
  <c r="AW24" i="13"/>
  <c r="AX24" i="13"/>
  <c r="AZ24" i="13"/>
  <c r="AY24" i="13"/>
  <c r="BA24" i="13" s="1"/>
  <c r="W25" i="13" s="1"/>
  <c r="AQ26" i="12"/>
  <c r="AT26" i="12" s="1"/>
  <c r="AR26" i="12"/>
  <c r="AS26" i="12"/>
  <c r="AL26" i="12"/>
  <c r="AM24" i="14" l="1"/>
  <c r="AK24" i="14"/>
  <c r="AO24" i="14" s="1"/>
  <c r="X25" i="13"/>
  <c r="AU26" i="12"/>
  <c r="AV26" i="12" s="1"/>
  <c r="AP24" i="14" l="1"/>
  <c r="AL24" i="14"/>
  <c r="AS24" i="14"/>
  <c r="AJ25" i="13"/>
  <c r="AN25" i="13" s="1"/>
  <c r="AI25" i="13"/>
  <c r="T26" i="13"/>
  <c r="U26" i="13" s="1"/>
  <c r="AX26" i="12"/>
  <c r="AW26" i="12"/>
  <c r="AY26" i="12" s="1"/>
  <c r="AQ24" i="14" l="1"/>
  <c r="AT24" i="14" s="1"/>
  <c r="AR24" i="14"/>
  <c r="AM25" i="13"/>
  <c r="AK25" i="13"/>
  <c r="AO25" i="13" s="1"/>
  <c r="AZ26" i="12"/>
  <c r="BA26" i="12" s="1"/>
  <c r="W27" i="12" s="1"/>
  <c r="X27" i="12" s="1"/>
  <c r="AU24" i="14" l="1"/>
  <c r="AV24" i="14" s="1"/>
  <c r="AP25" i="13"/>
  <c r="AL25" i="13"/>
  <c r="AS25" i="13"/>
  <c r="AJ27" i="12"/>
  <c r="AN27" i="12" s="1"/>
  <c r="AI27" i="12"/>
  <c r="AK27" i="12" s="1"/>
  <c r="AO27" i="12" s="1"/>
  <c r="T28" i="12"/>
  <c r="U28" i="12" s="1"/>
  <c r="AW24" i="14" l="1"/>
  <c r="AX24" i="14"/>
  <c r="AZ24" i="14"/>
  <c r="AY24" i="14"/>
  <c r="BA24" i="14" s="1"/>
  <c r="W25" i="14" s="1"/>
  <c r="AQ25" i="13"/>
  <c r="AT25" i="13" s="1"/>
  <c r="AR25" i="13"/>
  <c r="AM27" i="12"/>
  <c r="AL27" i="12"/>
  <c r="AP27" i="12"/>
  <c r="AQ27" i="12"/>
  <c r="X25" i="14" l="1"/>
  <c r="AU25" i="13"/>
  <c r="AV25" i="13"/>
  <c r="AT27" i="12"/>
  <c r="AS27" i="12"/>
  <c r="AU27" i="12" s="1"/>
  <c r="AR27" i="12"/>
  <c r="AJ25" i="14" l="1"/>
  <c r="AN25" i="14" s="1"/>
  <c r="AI25" i="14"/>
  <c r="T26" i="14"/>
  <c r="U26" i="14" s="1"/>
  <c r="AX25" i="13"/>
  <c r="AW25" i="13"/>
  <c r="AZ25" i="13"/>
  <c r="AY25" i="13"/>
  <c r="BA25" i="13" s="1"/>
  <c r="W26" i="13" s="1"/>
  <c r="AV27" i="12"/>
  <c r="AM25" i="14" l="1"/>
  <c r="AK25" i="14"/>
  <c r="AO25" i="14" s="1"/>
  <c r="X26" i="13"/>
  <c r="AX27" i="12"/>
  <c r="AW27" i="12"/>
  <c r="AZ27" i="12"/>
  <c r="AY27" i="12"/>
  <c r="BA27" i="12" s="1"/>
  <c r="W28" i="12" s="1"/>
  <c r="AP25" i="14" l="1"/>
  <c r="AL25" i="14"/>
  <c r="AS25" i="14"/>
  <c r="AJ26" i="13"/>
  <c r="AN26" i="13" s="1"/>
  <c r="AI26" i="13"/>
  <c r="T27" i="13"/>
  <c r="U27" i="13" s="1"/>
  <c r="X28" i="12"/>
  <c r="AQ25" i="14" l="1"/>
  <c r="AT25" i="14" s="1"/>
  <c r="AR25" i="14"/>
  <c r="AM26" i="13"/>
  <c r="AK26" i="13"/>
  <c r="AO26" i="13" s="1"/>
  <c r="AJ28" i="12"/>
  <c r="AN28" i="12" s="1"/>
  <c r="AI28" i="12"/>
  <c r="T29" i="12"/>
  <c r="U29" i="12" s="1"/>
  <c r="AU25" i="14" l="1"/>
  <c r="AV25" i="14"/>
  <c r="AS26" i="13"/>
  <c r="AP26" i="13"/>
  <c r="AL26" i="13"/>
  <c r="AM28" i="12"/>
  <c r="AK28" i="12"/>
  <c r="AO28" i="12" s="1"/>
  <c r="AP28" i="12" s="1"/>
  <c r="AW25" i="14" l="1"/>
  <c r="AY25" i="14" s="1"/>
  <c r="AX25" i="14"/>
  <c r="AZ25" i="14"/>
  <c r="AQ26" i="13"/>
  <c r="AT26" i="13" s="1"/>
  <c r="AR26" i="13"/>
  <c r="AQ28" i="12"/>
  <c r="AT28" i="12" s="1"/>
  <c r="AR28" i="12"/>
  <c r="AL28" i="12"/>
  <c r="AS28" i="12"/>
  <c r="BA25" i="14" l="1"/>
  <c r="W26" i="14" s="1"/>
  <c r="AU26" i="13"/>
  <c r="AV26" i="13"/>
  <c r="AU28" i="12"/>
  <c r="AV28" i="12"/>
  <c r="X26" i="14" l="1"/>
  <c r="AX26" i="13"/>
  <c r="AW26" i="13"/>
  <c r="AZ26" i="13" s="1"/>
  <c r="AX28" i="12"/>
  <c r="AW28" i="12"/>
  <c r="AZ28" i="12" s="1"/>
  <c r="AJ26" i="14" l="1"/>
  <c r="AN26" i="14" s="1"/>
  <c r="AI26" i="14"/>
  <c r="T27" i="14"/>
  <c r="U27" i="14" s="1"/>
  <c r="AY26" i="13"/>
  <c r="BA26" i="13" s="1"/>
  <c r="W27" i="13" s="1"/>
  <c r="AY28" i="12"/>
  <c r="BA28" i="12" s="1"/>
  <c r="W29" i="12" s="1"/>
  <c r="AM26" i="14" l="1"/>
  <c r="AK26" i="14"/>
  <c r="AO26" i="14" s="1"/>
  <c r="X27" i="13"/>
  <c r="X29" i="12"/>
  <c r="AP26" i="14" l="1"/>
  <c r="AL26" i="14"/>
  <c r="AS26" i="14"/>
  <c r="AJ27" i="13"/>
  <c r="AN27" i="13" s="1"/>
  <c r="AI27" i="13"/>
  <c r="AK27" i="13" s="1"/>
  <c r="AO27" i="13" s="1"/>
  <c r="T28" i="13"/>
  <c r="U28" i="13" s="1"/>
  <c r="AJ29" i="12"/>
  <c r="AN29" i="12" s="1"/>
  <c r="AI29" i="12"/>
  <c r="T30" i="12"/>
  <c r="U30" i="12" s="1"/>
  <c r="AQ26" i="14" l="1"/>
  <c r="AT26" i="14" s="1"/>
  <c r="AR26" i="14"/>
  <c r="AM27" i="13"/>
  <c r="AL27" i="13"/>
  <c r="AP27" i="13"/>
  <c r="AM29" i="12"/>
  <c r="AK29" i="12"/>
  <c r="AO29" i="12" s="1"/>
  <c r="AU26" i="14" l="1"/>
  <c r="AV26" i="14" s="1"/>
  <c r="AQ27" i="13"/>
  <c r="AT27" i="13" s="1"/>
  <c r="AS27" i="13"/>
  <c r="AR27" i="13"/>
  <c r="AP29" i="12"/>
  <c r="AL29" i="12"/>
  <c r="AS29" i="12"/>
  <c r="AX26" i="14" l="1"/>
  <c r="AW26" i="14"/>
  <c r="AY26" i="14" s="1"/>
  <c r="AU27" i="13"/>
  <c r="AV27" i="13"/>
  <c r="AQ29" i="12"/>
  <c r="AT29" i="12" s="1"/>
  <c r="AR29" i="12"/>
  <c r="AZ26" i="14" l="1"/>
  <c r="BA26" i="14" s="1"/>
  <c r="W27" i="14" s="1"/>
  <c r="AX27" i="13"/>
  <c r="AW27" i="13"/>
  <c r="AZ27" i="13" s="1"/>
  <c r="AU29" i="12"/>
  <c r="AV29" i="12"/>
  <c r="X27" i="14" l="1"/>
  <c r="AY27" i="13"/>
  <c r="BA27" i="13" s="1"/>
  <c r="W28" i="13" s="1"/>
  <c r="AW29" i="12"/>
  <c r="AZ29" i="12"/>
  <c r="AY29" i="12"/>
  <c r="BA29" i="12" s="1"/>
  <c r="W30" i="12" s="1"/>
  <c r="AX29" i="12"/>
  <c r="AJ27" i="14" l="1"/>
  <c r="AN27" i="14" s="1"/>
  <c r="AI27" i="14"/>
  <c r="T28" i="14"/>
  <c r="U28" i="14" s="1"/>
  <c r="X28" i="13"/>
  <c r="X30" i="12"/>
  <c r="AM27" i="14" l="1"/>
  <c r="AK27" i="14"/>
  <c r="AO27" i="14" s="1"/>
  <c r="AJ28" i="13"/>
  <c r="AN28" i="13" s="1"/>
  <c r="AI28" i="13"/>
  <c r="T29" i="13"/>
  <c r="U29" i="13" s="1"/>
  <c r="AJ30" i="12"/>
  <c r="AN30" i="12" s="1"/>
  <c r="AI30" i="12"/>
  <c r="T31" i="12"/>
  <c r="U31" i="12" s="1"/>
  <c r="AP27" i="14" l="1"/>
  <c r="AS27" i="14"/>
  <c r="AL27" i="14"/>
  <c r="AM28" i="13"/>
  <c r="AK28" i="13"/>
  <c r="AO28" i="13" s="1"/>
  <c r="AP28" i="13" s="1"/>
  <c r="AM30" i="12"/>
  <c r="AK30" i="12"/>
  <c r="AO30" i="12" s="1"/>
  <c r="AQ27" i="14" l="1"/>
  <c r="AT27" i="14" s="1"/>
  <c r="AR27" i="14"/>
  <c r="AQ28" i="13"/>
  <c r="AT28" i="13" s="1"/>
  <c r="AR28" i="13"/>
  <c r="AS28" i="13"/>
  <c r="AL28" i="13"/>
  <c r="AS30" i="12"/>
  <c r="AL30" i="12"/>
  <c r="AP30" i="12"/>
  <c r="AU27" i="14" l="1"/>
  <c r="AV27" i="14"/>
  <c r="AU28" i="13"/>
  <c r="AV28" i="13" s="1"/>
  <c r="AQ30" i="12"/>
  <c r="AT30" i="12" s="1"/>
  <c r="AR30" i="12"/>
  <c r="AX27" i="14" l="1"/>
  <c r="AW27" i="14"/>
  <c r="AZ27" i="14" s="1"/>
  <c r="AW28" i="13"/>
  <c r="AY28" i="13" s="1"/>
  <c r="AZ28" i="13"/>
  <c r="AX28" i="13"/>
  <c r="AU30" i="12"/>
  <c r="AV30" i="12"/>
  <c r="AY27" i="14" l="1"/>
  <c r="BA27" i="14" s="1"/>
  <c r="W28" i="14" s="1"/>
  <c r="BA28" i="13"/>
  <c r="W29" i="13" s="1"/>
  <c r="X29" i="13"/>
  <c r="AX30" i="12"/>
  <c r="AW30" i="12"/>
  <c r="AZ30" i="12" s="1"/>
  <c r="X28" i="14" l="1"/>
  <c r="AJ29" i="13"/>
  <c r="AN29" i="13" s="1"/>
  <c r="AI29" i="13"/>
  <c r="T30" i="13"/>
  <c r="U30" i="13" s="1"/>
  <c r="AY30" i="12"/>
  <c r="BA30" i="12"/>
  <c r="W31" i="12" s="1"/>
  <c r="AJ28" i="14" l="1"/>
  <c r="AN28" i="14" s="1"/>
  <c r="AI28" i="14"/>
  <c r="T29" i="14"/>
  <c r="U29" i="14" s="1"/>
  <c r="AM29" i="13"/>
  <c r="AK29" i="13"/>
  <c r="AO29" i="13" s="1"/>
  <c r="AP29" i="13"/>
  <c r="AQ29" i="13" s="1"/>
  <c r="X31" i="12"/>
  <c r="AM28" i="14" l="1"/>
  <c r="AK28" i="14"/>
  <c r="AO28" i="14" s="1"/>
  <c r="AT29" i="13"/>
  <c r="AR29" i="13"/>
  <c r="AL29" i="13"/>
  <c r="AS29" i="13"/>
  <c r="AU29" i="13" s="1"/>
  <c r="AJ31" i="12"/>
  <c r="AN31" i="12" s="1"/>
  <c r="AI31" i="12"/>
  <c r="T32" i="12"/>
  <c r="U32" i="12" s="1"/>
  <c r="AP28" i="14" l="1"/>
  <c r="AL28" i="14"/>
  <c r="AS28" i="14"/>
  <c r="AV29" i="13"/>
  <c r="AM31" i="12"/>
  <c r="AK31" i="12"/>
  <c r="AO31" i="12" s="1"/>
  <c r="AQ28" i="14" l="1"/>
  <c r="AT28" i="14" s="1"/>
  <c r="AR28" i="14"/>
  <c r="AX29" i="13"/>
  <c r="AW29" i="13"/>
  <c r="AZ29" i="13" s="1"/>
  <c r="AP31" i="12"/>
  <c r="AL31" i="12"/>
  <c r="AS31" i="12"/>
  <c r="AU28" i="14" l="1"/>
  <c r="AV28" i="14"/>
  <c r="AY29" i="13"/>
  <c r="BA29" i="13" s="1"/>
  <c r="W30" i="13" s="1"/>
  <c r="AQ31" i="12"/>
  <c r="AT31" i="12" s="1"/>
  <c r="AR31" i="12"/>
  <c r="AX28" i="14" l="1"/>
  <c r="AW28" i="14"/>
  <c r="AZ28" i="14" s="1"/>
  <c r="X30" i="13"/>
  <c r="AU31" i="12"/>
  <c r="AV31" i="12"/>
  <c r="AY28" i="14" l="1"/>
  <c r="BA28" i="14" s="1"/>
  <c r="W29" i="14" s="1"/>
  <c r="AJ30" i="13"/>
  <c r="AN30" i="13" s="1"/>
  <c r="AI30" i="13"/>
  <c r="T31" i="13"/>
  <c r="U31" i="13" s="1"/>
  <c r="AX31" i="12"/>
  <c r="AW31" i="12"/>
  <c r="AY31" i="12" s="1"/>
  <c r="X29" i="14" l="1"/>
  <c r="AM30" i="13"/>
  <c r="AK30" i="13"/>
  <c r="AO30" i="13" s="1"/>
  <c r="AZ31" i="12"/>
  <c r="BA31" i="12"/>
  <c r="W32" i="12" s="1"/>
  <c r="X32" i="12"/>
  <c r="AJ29" i="14" l="1"/>
  <c r="AN29" i="14" s="1"/>
  <c r="AI29" i="14"/>
  <c r="T30" i="14"/>
  <c r="U30" i="14" s="1"/>
  <c r="AL30" i="13"/>
  <c r="AS30" i="13"/>
  <c r="AP30" i="13"/>
  <c r="AJ32" i="12"/>
  <c r="AN32" i="12" s="1"/>
  <c r="AI32" i="12"/>
  <c r="T33" i="12"/>
  <c r="U33" i="12" s="1"/>
  <c r="AM29" i="14" l="1"/>
  <c r="AK29" i="14"/>
  <c r="AO29" i="14" s="1"/>
  <c r="AP29" i="14"/>
  <c r="AQ30" i="13"/>
  <c r="AT30" i="13" s="1"/>
  <c r="AR30" i="13"/>
  <c r="AM32" i="12"/>
  <c r="AK32" i="12"/>
  <c r="AO32" i="12" s="1"/>
  <c r="AQ29" i="14" l="1"/>
  <c r="AT29" i="14" s="1"/>
  <c r="AL29" i="14"/>
  <c r="AR29" i="14"/>
  <c r="AS29" i="14"/>
  <c r="AU30" i="13"/>
  <c r="AV30" i="13" s="1"/>
  <c r="AP32" i="12"/>
  <c r="AL32" i="12"/>
  <c r="AS32" i="12"/>
  <c r="AU29" i="14" l="1"/>
  <c r="AV29" i="14" s="1"/>
  <c r="AW30" i="13"/>
  <c r="AX30" i="13"/>
  <c r="AZ30" i="13"/>
  <c r="AY30" i="13"/>
  <c r="BA30" i="13" s="1"/>
  <c r="W31" i="13" s="1"/>
  <c r="AQ32" i="12"/>
  <c r="AT32" i="12" s="1"/>
  <c r="AR32" i="12"/>
  <c r="AX29" i="14" l="1"/>
  <c r="AW29" i="14"/>
  <c r="AZ29" i="14" s="1"/>
  <c r="X31" i="13"/>
  <c r="AU32" i="12"/>
  <c r="AV32" i="12"/>
  <c r="AY29" i="14" l="1"/>
  <c r="BA29" i="14" s="1"/>
  <c r="W30" i="14" s="1"/>
  <c r="AJ31" i="13"/>
  <c r="AN31" i="13" s="1"/>
  <c r="AI31" i="13"/>
  <c r="T32" i="13"/>
  <c r="U32" i="13" s="1"/>
  <c r="AW32" i="12"/>
  <c r="AY32" i="12"/>
  <c r="AZ32" i="12"/>
  <c r="AX32" i="12"/>
  <c r="X30" i="14" l="1"/>
  <c r="AM31" i="13"/>
  <c r="AK31" i="13"/>
  <c r="AO31" i="13" s="1"/>
  <c r="AP31" i="13" s="1"/>
  <c r="BA32" i="12"/>
  <c r="W33" i="12" s="1"/>
  <c r="AJ30" i="14" l="1"/>
  <c r="AN30" i="14" s="1"/>
  <c r="AI30" i="14"/>
  <c r="T31" i="14"/>
  <c r="U31" i="14" s="1"/>
  <c r="AQ31" i="13"/>
  <c r="AT31" i="13" s="1"/>
  <c r="AR31" i="13"/>
  <c r="AS31" i="13"/>
  <c r="AL31" i="13"/>
  <c r="X33" i="12"/>
  <c r="AM30" i="14" l="1"/>
  <c r="AK30" i="14"/>
  <c r="AO30" i="14" s="1"/>
  <c r="AU31" i="13"/>
  <c r="AV31" i="13" s="1"/>
  <c r="AJ33" i="12"/>
  <c r="AN33" i="12" s="1"/>
  <c r="AI33" i="12"/>
  <c r="T34" i="12"/>
  <c r="U34" i="12" s="1"/>
  <c r="AP30" i="14" l="1"/>
  <c r="AL30" i="14"/>
  <c r="AS30" i="14"/>
  <c r="AX31" i="13"/>
  <c r="AW31" i="13"/>
  <c r="AY31" i="13" s="1"/>
  <c r="AM33" i="12"/>
  <c r="AK33" i="12"/>
  <c r="AO33" i="12" s="1"/>
  <c r="AQ30" i="14" l="1"/>
  <c r="AT30" i="14" s="1"/>
  <c r="AR30" i="14"/>
  <c r="AZ31" i="13"/>
  <c r="BA31" i="13" s="1"/>
  <c r="W32" i="13" s="1"/>
  <c r="AP33" i="12"/>
  <c r="AL33" i="12"/>
  <c r="AS33" i="12"/>
  <c r="AU30" i="14" l="1"/>
  <c r="AV30" i="14" s="1"/>
  <c r="X32" i="13"/>
  <c r="AQ33" i="12"/>
  <c r="AT33" i="12" s="1"/>
  <c r="AR33" i="12"/>
  <c r="AX30" i="14" l="1"/>
  <c r="AW30" i="14"/>
  <c r="AZ30" i="14" s="1"/>
  <c r="AJ32" i="13"/>
  <c r="AN32" i="13" s="1"/>
  <c r="AI32" i="13"/>
  <c r="T33" i="13"/>
  <c r="U33" i="13" s="1"/>
  <c r="AU33" i="12"/>
  <c r="AV33" i="12" s="1"/>
  <c r="AY30" i="14" l="1"/>
  <c r="BA30" i="14" s="1"/>
  <c r="W31" i="14" s="1"/>
  <c r="AM32" i="13"/>
  <c r="AK32" i="13"/>
  <c r="AO32" i="13" s="1"/>
  <c r="AP32" i="13"/>
  <c r="AQ32" i="13"/>
  <c r="AW33" i="12"/>
  <c r="AZ33" i="12" s="1"/>
  <c r="AX33" i="12"/>
  <c r="X31" i="14" l="1"/>
  <c r="AT32" i="13"/>
  <c r="AR32" i="13"/>
  <c r="AS32" i="13"/>
  <c r="AU32" i="13" s="1"/>
  <c r="AL32" i="13"/>
  <c r="AY33" i="12"/>
  <c r="BA33" i="12" s="1"/>
  <c r="W34" i="12" s="1"/>
  <c r="AJ31" i="14" l="1"/>
  <c r="AN31" i="14" s="1"/>
  <c r="AI31" i="14"/>
  <c r="T32" i="14"/>
  <c r="U32" i="14" s="1"/>
  <c r="AV32" i="13"/>
  <c r="X34" i="12"/>
  <c r="AK31" i="14" l="1"/>
  <c r="AO31" i="14" s="1"/>
  <c r="AL31" i="14"/>
  <c r="AM31" i="14"/>
  <c r="AP31" i="14"/>
  <c r="AX32" i="13"/>
  <c r="AW32" i="13"/>
  <c r="AZ32" i="13" s="1"/>
  <c r="AY32" i="13"/>
  <c r="AJ34" i="12"/>
  <c r="AN34" i="12" s="1"/>
  <c r="AI34" i="12"/>
  <c r="T35" i="12"/>
  <c r="U35" i="12" s="1"/>
  <c r="AQ31" i="14" l="1"/>
  <c r="AT31" i="14" s="1"/>
  <c r="AS31" i="14"/>
  <c r="AR31" i="14"/>
  <c r="BA32" i="13"/>
  <c r="W33" i="13" s="1"/>
  <c r="AM34" i="12"/>
  <c r="AK34" i="12"/>
  <c r="AO34" i="12" s="1"/>
  <c r="AU31" i="14" l="1"/>
  <c r="AV31" i="14"/>
  <c r="X33" i="13"/>
  <c r="AP34" i="12"/>
  <c r="AL34" i="12"/>
  <c r="AS34" i="12"/>
  <c r="AX31" i="14" l="1"/>
  <c r="AW31" i="14"/>
  <c r="AZ31" i="14" s="1"/>
  <c r="AJ33" i="13"/>
  <c r="AN33" i="13" s="1"/>
  <c r="AI33" i="13"/>
  <c r="AK33" i="13" s="1"/>
  <c r="AO33" i="13" s="1"/>
  <c r="T34" i="13"/>
  <c r="U34" i="13" s="1"/>
  <c r="AQ34" i="12"/>
  <c r="AT34" i="12" s="1"/>
  <c r="AR34" i="12"/>
  <c r="AY31" i="14" l="1"/>
  <c r="BA31" i="14" s="1"/>
  <c r="W32" i="14" s="1"/>
  <c r="AM33" i="13"/>
  <c r="AL33" i="13"/>
  <c r="AP33" i="13"/>
  <c r="AQ33" i="13"/>
  <c r="AU34" i="12"/>
  <c r="AV34" i="12" s="1"/>
  <c r="X32" i="14" l="1"/>
  <c r="AT33" i="13"/>
  <c r="AS33" i="13"/>
  <c r="AU33" i="13" s="1"/>
  <c r="AR33" i="13"/>
  <c r="AX34" i="12"/>
  <c r="AW34" i="12"/>
  <c r="AZ34" i="12" s="1"/>
  <c r="AJ32" i="14" l="1"/>
  <c r="AN32" i="14" s="1"/>
  <c r="AI32" i="14"/>
  <c r="T33" i="14"/>
  <c r="U33" i="14" s="1"/>
  <c r="AV33" i="13"/>
  <c r="AY34" i="12"/>
  <c r="BA34" i="12" s="1"/>
  <c r="W35" i="12" s="1"/>
  <c r="AM32" i="14" l="1"/>
  <c r="AK32" i="14"/>
  <c r="AO32" i="14" s="1"/>
  <c r="AX33" i="13"/>
  <c r="AW33" i="13"/>
  <c r="AZ33" i="13" s="1"/>
  <c r="X35" i="12"/>
  <c r="AP32" i="14" l="1"/>
  <c r="AS32" i="14"/>
  <c r="AL32" i="14"/>
  <c r="AY33" i="13"/>
  <c r="BA33" i="13" s="1"/>
  <c r="W34" i="13" s="1"/>
  <c r="AJ35" i="12"/>
  <c r="AN35" i="12" s="1"/>
  <c r="AI35" i="12"/>
  <c r="T36" i="12"/>
  <c r="U36" i="12" s="1"/>
  <c r="AQ32" i="14" l="1"/>
  <c r="AT32" i="14" s="1"/>
  <c r="AR32" i="14"/>
  <c r="X34" i="13"/>
  <c r="AM35" i="12"/>
  <c r="AK35" i="12"/>
  <c r="AO35" i="12" s="1"/>
  <c r="AP35" i="12"/>
  <c r="AU32" i="14" l="1"/>
  <c r="AV32" i="14" s="1"/>
  <c r="AJ34" i="13"/>
  <c r="AN34" i="13" s="1"/>
  <c r="AI34" i="13"/>
  <c r="T35" i="13"/>
  <c r="U35" i="13" s="1"/>
  <c r="AQ35" i="12"/>
  <c r="AT35" i="12" s="1"/>
  <c r="AR35" i="12"/>
  <c r="AS35" i="12"/>
  <c r="AL35" i="12"/>
  <c r="AX32" i="14" l="1"/>
  <c r="AW32" i="14"/>
  <c r="AZ32" i="14" s="1"/>
  <c r="AM34" i="13"/>
  <c r="AK34" i="13"/>
  <c r="AO34" i="13" s="1"/>
  <c r="AP34" i="13" s="1"/>
  <c r="AQ34" i="13" s="1"/>
  <c r="AU35" i="12"/>
  <c r="AV35" i="12"/>
  <c r="AY32" i="14" l="1"/>
  <c r="BA32" i="14" s="1"/>
  <c r="W33" i="14" s="1"/>
  <c r="AT34" i="13"/>
  <c r="AR34" i="13"/>
  <c r="AL34" i="13"/>
  <c r="AS34" i="13"/>
  <c r="AU34" i="13" s="1"/>
  <c r="AX35" i="12"/>
  <c r="AW35" i="12"/>
  <c r="AZ35" i="12" s="1"/>
  <c r="X33" i="14" l="1"/>
  <c r="AV34" i="13"/>
  <c r="AY35" i="12"/>
  <c r="BA35" i="12" s="1"/>
  <c r="W36" i="12" s="1"/>
  <c r="AJ33" i="14" l="1"/>
  <c r="AN33" i="14" s="1"/>
  <c r="AI33" i="14"/>
  <c r="T34" i="14"/>
  <c r="U34" i="14" s="1"/>
  <c r="AX34" i="13"/>
  <c r="AW34" i="13"/>
  <c r="AY34" i="13" s="1"/>
  <c r="X36" i="12"/>
  <c r="AM33" i="14" l="1"/>
  <c r="AK33" i="14"/>
  <c r="AO33" i="14" s="1"/>
  <c r="AP33" i="14" s="1"/>
  <c r="AQ33" i="14" s="1"/>
  <c r="AZ34" i="13"/>
  <c r="BA34" i="13" s="1"/>
  <c r="W35" i="13" s="1"/>
  <c r="X35" i="13" s="1"/>
  <c r="AJ36" i="12"/>
  <c r="AN36" i="12" s="1"/>
  <c r="AI36" i="12"/>
  <c r="T37" i="12"/>
  <c r="U37" i="12" s="1"/>
  <c r="AT33" i="14" l="1"/>
  <c r="AR33" i="14"/>
  <c r="AL33" i="14"/>
  <c r="AS33" i="14"/>
  <c r="AU33" i="14" s="1"/>
  <c r="AJ35" i="13"/>
  <c r="AN35" i="13" s="1"/>
  <c r="AI35" i="13"/>
  <c r="T36" i="13"/>
  <c r="U36" i="13" s="1"/>
  <c r="AM36" i="12"/>
  <c r="AK36" i="12"/>
  <c r="AO36" i="12" s="1"/>
  <c r="AV33" i="14" l="1"/>
  <c r="AM35" i="13"/>
  <c r="AK35" i="13"/>
  <c r="AO35" i="13" s="1"/>
  <c r="AP36" i="12"/>
  <c r="AL36" i="12"/>
  <c r="AS36" i="12"/>
  <c r="AX33" i="14" l="1"/>
  <c r="AW33" i="14"/>
  <c r="AZ33" i="14" s="1"/>
  <c r="AL35" i="13"/>
  <c r="AP35" i="13"/>
  <c r="AS35" i="13"/>
  <c r="AQ36" i="12"/>
  <c r="AT36" i="12" s="1"/>
  <c r="AR36" i="12"/>
  <c r="AY33" i="14" l="1"/>
  <c r="BA33" i="14" s="1"/>
  <c r="W34" i="14" s="1"/>
  <c r="AQ35" i="13"/>
  <c r="AT35" i="13" s="1"/>
  <c r="AR35" i="13"/>
  <c r="AU36" i="12"/>
  <c r="AV36" i="12" s="1"/>
  <c r="X34" i="14" l="1"/>
  <c r="AU35" i="13"/>
  <c r="AV35" i="13" s="1"/>
  <c r="AX36" i="12"/>
  <c r="AW36" i="12"/>
  <c r="AY36" i="12" s="1"/>
  <c r="AZ36" i="12"/>
  <c r="AJ34" i="14" l="1"/>
  <c r="AN34" i="14" s="1"/>
  <c r="AI34" i="14"/>
  <c r="T35" i="14"/>
  <c r="U35" i="14" s="1"/>
  <c r="AX35" i="13"/>
  <c r="AW35" i="13"/>
  <c r="AZ35" i="13" s="1"/>
  <c r="BA36" i="12"/>
  <c r="W37" i="12" s="1"/>
  <c r="X37" i="12" s="1"/>
  <c r="AY35" i="13" l="1"/>
  <c r="BA35" i="13"/>
  <c r="W36" i="13" s="1"/>
  <c r="X36" i="13" s="1"/>
  <c r="AM34" i="14"/>
  <c r="AK34" i="14"/>
  <c r="AO34" i="14" s="1"/>
  <c r="AP34" i="14"/>
  <c r="AQ34" i="14" s="1"/>
  <c r="AJ37" i="12"/>
  <c r="AN37" i="12" s="1"/>
  <c r="AI37" i="12"/>
  <c r="T38" i="12"/>
  <c r="U38" i="12" s="1"/>
  <c r="AT34" i="14" l="1"/>
  <c r="AR34" i="14"/>
  <c r="AL34" i="14"/>
  <c r="AS34" i="14"/>
  <c r="AU34" i="14" s="1"/>
  <c r="AJ36" i="13"/>
  <c r="AN36" i="13" s="1"/>
  <c r="AI36" i="13"/>
  <c r="T37" i="13"/>
  <c r="U37" i="13" s="1"/>
  <c r="AM37" i="12"/>
  <c r="AK37" i="12"/>
  <c r="AO37" i="12" s="1"/>
  <c r="AV34" i="14" l="1"/>
  <c r="AM36" i="13"/>
  <c r="AK36" i="13"/>
  <c r="AO36" i="13" s="1"/>
  <c r="AP36" i="13" s="1"/>
  <c r="AP37" i="12"/>
  <c r="AL37" i="12"/>
  <c r="AS37" i="12"/>
  <c r="AX34" i="14" l="1"/>
  <c r="AW34" i="14"/>
  <c r="AZ34" i="14"/>
  <c r="AY34" i="14"/>
  <c r="AQ36" i="13"/>
  <c r="AT36" i="13" s="1"/>
  <c r="AR36" i="13"/>
  <c r="AL36" i="13"/>
  <c r="AS36" i="13"/>
  <c r="AQ37" i="12"/>
  <c r="AT37" i="12" s="1"/>
  <c r="AR37" i="12"/>
  <c r="BA34" i="14" l="1"/>
  <c r="W35" i="14" s="1"/>
  <c r="AU36" i="13"/>
  <c r="AV36" i="13" s="1"/>
  <c r="AV37" i="12"/>
  <c r="AU37" i="12"/>
  <c r="X35" i="14" l="1"/>
  <c r="AW36" i="13"/>
  <c r="AZ36" i="13" s="1"/>
  <c r="AX36" i="13"/>
  <c r="AX37" i="12"/>
  <c r="AW37" i="12"/>
  <c r="AZ37" i="12"/>
  <c r="AY37" i="12"/>
  <c r="BA37" i="12" s="1"/>
  <c r="W38" i="12" s="1"/>
  <c r="AJ35" i="14" l="1"/>
  <c r="AN35" i="14" s="1"/>
  <c r="AI35" i="14"/>
  <c r="T36" i="14"/>
  <c r="U36" i="14" s="1"/>
  <c r="AY36" i="13"/>
  <c r="BA36" i="13" s="1"/>
  <c r="W37" i="13" s="1"/>
  <c r="X38" i="12"/>
  <c r="AM35" i="14" l="1"/>
  <c r="AK35" i="14"/>
  <c r="AO35" i="14" s="1"/>
  <c r="AP35" i="14" s="1"/>
  <c r="AQ35" i="14" s="1"/>
  <c r="X37" i="13"/>
  <c r="AJ38" i="12"/>
  <c r="AN38" i="12" s="1"/>
  <c r="AI38" i="12"/>
  <c r="T39" i="12"/>
  <c r="U39" i="12" s="1"/>
  <c r="AT35" i="14" l="1"/>
  <c r="AR35" i="14"/>
  <c r="AL35" i="14"/>
  <c r="AS35" i="14"/>
  <c r="AJ37" i="13"/>
  <c r="AN37" i="13" s="1"/>
  <c r="AI37" i="13"/>
  <c r="T38" i="13"/>
  <c r="U38" i="13" s="1"/>
  <c r="AM38" i="12"/>
  <c r="AK38" i="12"/>
  <c r="AO38" i="12" s="1"/>
  <c r="AU35" i="14" l="1"/>
  <c r="AV35" i="14"/>
  <c r="AM37" i="13"/>
  <c r="AK37" i="13"/>
  <c r="AO37" i="13" s="1"/>
  <c r="AP38" i="12"/>
  <c r="AL38" i="12"/>
  <c r="AS38" i="12"/>
  <c r="AX35" i="14" l="1"/>
  <c r="AW35" i="14"/>
  <c r="AZ35" i="14" s="1"/>
  <c r="AP37" i="13"/>
  <c r="AL37" i="13"/>
  <c r="AS37" i="13"/>
  <c r="AQ38" i="12"/>
  <c r="AT38" i="12" s="1"/>
  <c r="AR38" i="12"/>
  <c r="AY35" i="14" l="1"/>
  <c r="BA35" i="14" s="1"/>
  <c r="W36" i="14" s="1"/>
  <c r="AQ37" i="13"/>
  <c r="AT37" i="13" s="1"/>
  <c r="AR37" i="13"/>
  <c r="AU38" i="12"/>
  <c r="AV38" i="12"/>
  <c r="X36" i="14" l="1"/>
  <c r="AU37" i="13"/>
  <c r="AV37" i="13"/>
  <c r="AW38" i="12"/>
  <c r="AY38" i="12"/>
  <c r="AZ38" i="12"/>
  <c r="AX38" i="12"/>
  <c r="AJ36" i="14" l="1"/>
  <c r="AN36" i="14" s="1"/>
  <c r="AI36" i="14"/>
  <c r="T37" i="14"/>
  <c r="U37" i="14" s="1"/>
  <c r="AX37" i="13"/>
  <c r="AW37" i="13"/>
  <c r="AY37" i="13" s="1"/>
  <c r="BA38" i="12"/>
  <c r="W39" i="12" s="1"/>
  <c r="AM36" i="14" l="1"/>
  <c r="AK36" i="14"/>
  <c r="AO36" i="14" s="1"/>
  <c r="AZ37" i="13"/>
  <c r="BA37" i="13" s="1"/>
  <c r="W38" i="13" s="1"/>
  <c r="X39" i="12"/>
  <c r="AS36" i="14" l="1"/>
  <c r="AP36" i="14"/>
  <c r="AL36" i="14"/>
  <c r="X38" i="13"/>
  <c r="AJ39" i="12"/>
  <c r="AN39" i="12" s="1"/>
  <c r="AI39" i="12"/>
  <c r="T40" i="12"/>
  <c r="U40" i="12" s="1"/>
  <c r="AQ36" i="14" l="1"/>
  <c r="AT36" i="14" s="1"/>
  <c r="AR36" i="14"/>
  <c r="AJ38" i="13"/>
  <c r="AN38" i="13" s="1"/>
  <c r="AI38" i="13"/>
  <c r="T39" i="13"/>
  <c r="U39" i="13" s="1"/>
  <c r="AM39" i="12"/>
  <c r="AK39" i="12"/>
  <c r="AO39" i="12" s="1"/>
  <c r="AU36" i="14" l="1"/>
  <c r="AV36" i="14"/>
  <c r="AM38" i="13"/>
  <c r="AK38" i="13"/>
  <c r="AO38" i="13" s="1"/>
  <c r="AL39" i="12"/>
  <c r="AP39" i="12"/>
  <c r="AS39" i="12"/>
  <c r="AX36" i="14" l="1"/>
  <c r="AW36" i="14"/>
  <c r="AY36" i="14" s="1"/>
  <c r="AP38" i="13"/>
  <c r="AL38" i="13"/>
  <c r="AS38" i="13"/>
  <c r="AQ39" i="12"/>
  <c r="AT39" i="12" s="1"/>
  <c r="AR39" i="12"/>
  <c r="AZ36" i="14" l="1"/>
  <c r="BA36" i="14" s="1"/>
  <c r="W37" i="14" s="1"/>
  <c r="AQ38" i="13"/>
  <c r="AT38" i="13" s="1"/>
  <c r="AR38" i="13"/>
  <c r="AU39" i="12"/>
  <c r="AV39" i="12"/>
  <c r="X37" i="14" l="1"/>
  <c r="AU38" i="13"/>
  <c r="AV38" i="13" s="1"/>
  <c r="AX39" i="12"/>
  <c r="AW39" i="12"/>
  <c r="AZ39" i="12" s="1"/>
  <c r="AJ37" i="14" l="1"/>
  <c r="AN37" i="14" s="1"/>
  <c r="AI37" i="14"/>
  <c r="T38" i="14"/>
  <c r="U38" i="14" s="1"/>
  <c r="AX38" i="13"/>
  <c r="AW38" i="13"/>
  <c r="AZ38" i="13"/>
  <c r="AY38" i="13"/>
  <c r="AY39" i="12"/>
  <c r="BA39" i="12" s="1"/>
  <c r="W40" i="12" s="1"/>
  <c r="AM37" i="14" l="1"/>
  <c r="AK37" i="14"/>
  <c r="AO37" i="14" s="1"/>
  <c r="AP37" i="14"/>
  <c r="AQ37" i="14"/>
  <c r="BA38" i="13"/>
  <c r="W39" i="13" s="1"/>
  <c r="X39" i="13" s="1"/>
  <c r="X40" i="12"/>
  <c r="AT37" i="14" l="1"/>
  <c r="AR37" i="14"/>
  <c r="AL37" i="14"/>
  <c r="AS37" i="14"/>
  <c r="AU37" i="14" s="1"/>
  <c r="AJ39" i="13"/>
  <c r="AN39" i="13" s="1"/>
  <c r="AI39" i="13"/>
  <c r="T40" i="13"/>
  <c r="U40" i="13" s="1"/>
  <c r="AJ40" i="12"/>
  <c r="AN40" i="12" s="1"/>
  <c r="AI40" i="12"/>
  <c r="T41" i="12"/>
  <c r="U41" i="12" s="1"/>
  <c r="AV37" i="14" l="1"/>
  <c r="AM39" i="13"/>
  <c r="AK39" i="13"/>
  <c r="AO39" i="13" s="1"/>
  <c r="AP39" i="13" s="1"/>
  <c r="AM40" i="12"/>
  <c r="AK40" i="12"/>
  <c r="AO40" i="12" s="1"/>
  <c r="AX37" i="14" l="1"/>
  <c r="AW37" i="14"/>
  <c r="AZ37" i="14" s="1"/>
  <c r="AQ39" i="13"/>
  <c r="AT39" i="13" s="1"/>
  <c r="AR39" i="13"/>
  <c r="AS39" i="13"/>
  <c r="AL39" i="13"/>
  <c r="AP40" i="12"/>
  <c r="AL40" i="12"/>
  <c r="AS40" i="12"/>
  <c r="AY37" i="14" l="1"/>
  <c r="BA37" i="14" s="1"/>
  <c r="W38" i="14" s="1"/>
  <c r="AU39" i="13"/>
  <c r="AV39" i="13"/>
  <c r="AQ40" i="12"/>
  <c r="AT40" i="12" s="1"/>
  <c r="AR40" i="12"/>
  <c r="X38" i="14" l="1"/>
  <c r="AW39" i="13"/>
  <c r="AZ39" i="13" s="1"/>
  <c r="AY39" i="13"/>
  <c r="AX39" i="13"/>
  <c r="AU40" i="12"/>
  <c r="AV40" i="12"/>
  <c r="AJ38" i="14" l="1"/>
  <c r="AN38" i="14" s="1"/>
  <c r="AI38" i="14"/>
  <c r="T39" i="14"/>
  <c r="U39" i="14" s="1"/>
  <c r="BA39" i="13"/>
  <c r="W40" i="13" s="1"/>
  <c r="AW40" i="12"/>
  <c r="AZ40" i="12"/>
  <c r="AX40" i="12"/>
  <c r="AY40" i="12"/>
  <c r="BA40" i="12" s="1"/>
  <c r="W41" i="12" s="1"/>
  <c r="AM38" i="14" l="1"/>
  <c r="AK38" i="14"/>
  <c r="AO38" i="14" s="1"/>
  <c r="AP38" i="14"/>
  <c r="AQ38" i="14"/>
  <c r="X40" i="13"/>
  <c r="X41" i="12"/>
  <c r="AT38" i="14" l="1"/>
  <c r="AR38" i="14"/>
  <c r="AL38" i="14"/>
  <c r="AS38" i="14"/>
  <c r="AU38" i="14" s="1"/>
  <c r="AJ40" i="13"/>
  <c r="AN40" i="13" s="1"/>
  <c r="AI40" i="13"/>
  <c r="T41" i="13"/>
  <c r="U41" i="13" s="1"/>
  <c r="AJ41" i="12"/>
  <c r="AN41" i="12" s="1"/>
  <c r="AI41" i="12"/>
  <c r="T42" i="12"/>
  <c r="U42" i="12" s="1"/>
  <c r="AV38" i="14" l="1"/>
  <c r="AM40" i="13"/>
  <c r="AK40" i="13"/>
  <c r="AO40" i="13" s="1"/>
  <c r="AM41" i="12"/>
  <c r="AK41" i="12"/>
  <c r="AO41" i="12" s="1"/>
  <c r="AW38" i="14" l="1"/>
  <c r="AZ38" i="14" s="1"/>
  <c r="AX38" i="14"/>
  <c r="AP40" i="13"/>
  <c r="AL40" i="13"/>
  <c r="AS40" i="13"/>
  <c r="AP41" i="12"/>
  <c r="AL41" i="12"/>
  <c r="AS41" i="12"/>
  <c r="AY38" i="14" l="1"/>
  <c r="BA38" i="14"/>
  <c r="W39" i="14" s="1"/>
  <c r="AQ40" i="13"/>
  <c r="AT40" i="13" s="1"/>
  <c r="AR40" i="13"/>
  <c r="AQ41" i="12"/>
  <c r="AT41" i="12" s="1"/>
  <c r="AR41" i="12"/>
  <c r="X39" i="14" l="1"/>
  <c r="AU40" i="13"/>
  <c r="AV40" i="13" s="1"/>
  <c r="AU41" i="12"/>
  <c r="AV41" i="12"/>
  <c r="AJ39" i="14" l="1"/>
  <c r="AN39" i="14" s="1"/>
  <c r="AI39" i="14"/>
  <c r="AK39" i="14" s="1"/>
  <c r="AO39" i="14" s="1"/>
  <c r="T40" i="14"/>
  <c r="U40" i="14" s="1"/>
  <c r="AX40" i="13"/>
  <c r="AW40" i="13"/>
  <c r="AZ40" i="13" s="1"/>
  <c r="AX41" i="12"/>
  <c r="AW41" i="12"/>
  <c r="AZ41" i="12" s="1"/>
  <c r="AY41" i="12"/>
  <c r="AM39" i="14" l="1"/>
  <c r="AL39" i="14"/>
  <c r="AP39" i="14"/>
  <c r="AY40" i="13"/>
  <c r="BA40" i="13" s="1"/>
  <c r="W41" i="13" s="1"/>
  <c r="BA41" i="12"/>
  <c r="W42" i="12" s="1"/>
  <c r="X42" i="12"/>
  <c r="AQ39" i="14" l="1"/>
  <c r="AT39" i="14" s="1"/>
  <c r="AS39" i="14"/>
  <c r="AR39" i="14"/>
  <c r="X41" i="13"/>
  <c r="AJ42" i="12"/>
  <c r="AN42" i="12" s="1"/>
  <c r="AI42" i="12"/>
  <c r="T43" i="12"/>
  <c r="U43" i="12" s="1"/>
  <c r="AU39" i="14" l="1"/>
  <c r="AV39" i="14" s="1"/>
  <c r="AJ41" i="13"/>
  <c r="AN41" i="13" s="1"/>
  <c r="AI41" i="13"/>
  <c r="T42" i="13"/>
  <c r="U42" i="13" s="1"/>
  <c r="AM42" i="12"/>
  <c r="AK42" i="12"/>
  <c r="AO42" i="12" s="1"/>
  <c r="AX39" i="14" l="1"/>
  <c r="AW39" i="14"/>
  <c r="AY39" i="14" s="1"/>
  <c r="AM41" i="13"/>
  <c r="AK41" i="13"/>
  <c r="AO41" i="13" s="1"/>
  <c r="AP42" i="12"/>
  <c r="AL42" i="12"/>
  <c r="AS42" i="12"/>
  <c r="AZ39" i="14" l="1"/>
  <c r="BA39" i="14" s="1"/>
  <c r="W40" i="14" s="1"/>
  <c r="AP41" i="13"/>
  <c r="AL41" i="13"/>
  <c r="AS41" i="13"/>
  <c r="AQ42" i="12"/>
  <c r="AT42" i="12" s="1"/>
  <c r="AR42" i="12"/>
  <c r="X40" i="14" l="1"/>
  <c r="AQ41" i="13"/>
  <c r="AT41" i="13" s="1"/>
  <c r="AR41" i="13"/>
  <c r="AU42" i="12"/>
  <c r="AV42" i="12" s="1"/>
  <c r="AJ40" i="14" l="1"/>
  <c r="AN40" i="14" s="1"/>
  <c r="AI40" i="14"/>
  <c r="T41" i="14"/>
  <c r="U41" i="14" s="1"/>
  <c r="AU41" i="13"/>
  <c r="AV41" i="13"/>
  <c r="AW42" i="12"/>
  <c r="AY42" i="12"/>
  <c r="AZ42" i="12"/>
  <c r="AX42" i="12"/>
  <c r="AM40" i="14" l="1"/>
  <c r="AK40" i="14"/>
  <c r="AO40" i="14" s="1"/>
  <c r="AP40" i="14" s="1"/>
  <c r="AX41" i="13"/>
  <c r="AW41" i="13"/>
  <c r="AY41" i="13" s="1"/>
  <c r="AZ41" i="13"/>
  <c r="BA42" i="12"/>
  <c r="W43" i="12" s="1"/>
  <c r="AQ40" i="14" l="1"/>
  <c r="AT40" i="14" s="1"/>
  <c r="AL40" i="14"/>
  <c r="AR40" i="14"/>
  <c r="AS40" i="14"/>
  <c r="BA41" i="13"/>
  <c r="W42" i="13" s="1"/>
  <c r="X43" i="12"/>
  <c r="AU40" i="14" l="1"/>
  <c r="AV40" i="14" s="1"/>
  <c r="X42" i="13"/>
  <c r="AJ43" i="12"/>
  <c r="AN43" i="12" s="1"/>
  <c r="AI43" i="12"/>
  <c r="T44" i="12"/>
  <c r="U44" i="12" s="1"/>
  <c r="AX40" i="14" l="1"/>
  <c r="AW40" i="14"/>
  <c r="AY40" i="14" s="1"/>
  <c r="AJ42" i="13"/>
  <c r="AN42" i="13" s="1"/>
  <c r="AI42" i="13"/>
  <c r="T43" i="13"/>
  <c r="U43" i="13" s="1"/>
  <c r="AM43" i="12"/>
  <c r="AK43" i="12"/>
  <c r="AO43" i="12" s="1"/>
  <c r="AZ40" i="14" l="1"/>
  <c r="BA40" i="14" s="1"/>
  <c r="W41" i="14" s="1"/>
  <c r="AM42" i="13"/>
  <c r="AK42" i="13"/>
  <c r="AO42" i="13" s="1"/>
  <c r="AP43" i="12"/>
  <c r="AL43" i="12"/>
  <c r="AS43" i="12"/>
  <c r="X41" i="14" l="1"/>
  <c r="AP42" i="13"/>
  <c r="AL42" i="13"/>
  <c r="AS42" i="13"/>
  <c r="AQ43" i="12"/>
  <c r="AT43" i="12" s="1"/>
  <c r="AR43" i="12"/>
  <c r="AJ41" i="14" l="1"/>
  <c r="AN41" i="14" s="1"/>
  <c r="AI41" i="14"/>
  <c r="T42" i="14"/>
  <c r="U42" i="14" s="1"/>
  <c r="AQ42" i="13"/>
  <c r="AT42" i="13" s="1"/>
  <c r="AR42" i="13"/>
  <c r="AU43" i="12"/>
  <c r="AV43" i="12"/>
  <c r="AM41" i="14" l="1"/>
  <c r="AK41" i="14"/>
  <c r="AO41" i="14" s="1"/>
  <c r="AU42" i="13"/>
  <c r="AV42" i="13"/>
  <c r="AX43" i="12"/>
  <c r="AW43" i="12"/>
  <c r="AY43" i="12" s="1"/>
  <c r="AP41" i="14" l="1"/>
  <c r="AL41" i="14"/>
  <c r="AS41" i="14"/>
  <c r="AW42" i="13"/>
  <c r="AZ42" i="13"/>
  <c r="AY42" i="13"/>
  <c r="BA42" i="13" s="1"/>
  <c r="W43" i="13" s="1"/>
  <c r="AX42" i="13"/>
  <c r="AZ43" i="12"/>
  <c r="BA43" i="12" s="1"/>
  <c r="W44" i="12" s="1"/>
  <c r="AQ41" i="14" l="1"/>
  <c r="AT41" i="14" s="1"/>
  <c r="AR41" i="14"/>
  <c r="X43" i="13"/>
  <c r="X44" i="12"/>
  <c r="AU41" i="14" l="1"/>
  <c r="AV41" i="14"/>
  <c r="AJ43" i="13"/>
  <c r="AN43" i="13" s="1"/>
  <c r="AI43" i="13"/>
  <c r="T44" i="13"/>
  <c r="U44" i="13" s="1"/>
  <c r="AJ44" i="12"/>
  <c r="AN44" i="12" s="1"/>
  <c r="AI44" i="12"/>
  <c r="T45" i="12"/>
  <c r="U45" i="12" s="1"/>
  <c r="AX41" i="14" l="1"/>
  <c r="AW41" i="14"/>
  <c r="AY41" i="14" s="1"/>
  <c r="AM43" i="13"/>
  <c r="AK43" i="13"/>
  <c r="AO43" i="13" s="1"/>
  <c r="AM44" i="12"/>
  <c r="AK44" i="12"/>
  <c r="AO44" i="12" s="1"/>
  <c r="AZ41" i="14" l="1"/>
  <c r="BA41" i="14" s="1"/>
  <c r="W42" i="14" s="1"/>
  <c r="X42" i="14" s="1"/>
  <c r="AP43" i="13"/>
  <c r="AL43" i="13"/>
  <c r="AS43" i="13"/>
  <c r="AL44" i="12"/>
  <c r="AP44" i="12"/>
  <c r="AS44" i="12"/>
  <c r="AJ42" i="14" l="1"/>
  <c r="AN42" i="14" s="1"/>
  <c r="AI42" i="14"/>
  <c r="T43" i="14"/>
  <c r="U43" i="14" s="1"/>
  <c r="AQ43" i="13"/>
  <c r="AT43" i="13" s="1"/>
  <c r="AR43" i="13"/>
  <c r="AQ44" i="12"/>
  <c r="AT44" i="12" s="1"/>
  <c r="AR44" i="12"/>
  <c r="AM42" i="14" l="1"/>
  <c r="AK42" i="14"/>
  <c r="AO42" i="14" s="1"/>
  <c r="AU43" i="13"/>
  <c r="AV43" i="13"/>
  <c r="AU44" i="12"/>
  <c r="AV44" i="12" s="1"/>
  <c r="AP42" i="14" l="1"/>
  <c r="AL42" i="14"/>
  <c r="AS42" i="14"/>
  <c r="AX43" i="13"/>
  <c r="AW43" i="13"/>
  <c r="AZ43" i="13" s="1"/>
  <c r="AW44" i="12"/>
  <c r="AX44" i="12"/>
  <c r="AZ44" i="12"/>
  <c r="AY44" i="12"/>
  <c r="AQ42" i="14" l="1"/>
  <c r="AT42" i="14" s="1"/>
  <c r="AR42" i="14"/>
  <c r="AY43" i="13"/>
  <c r="BA43" i="13" s="1"/>
  <c r="W44" i="13" s="1"/>
  <c r="BA44" i="12"/>
  <c r="W45" i="12" s="1"/>
  <c r="AU42" i="14" l="1"/>
  <c r="AV42" i="14"/>
  <c r="X44" i="13"/>
  <c r="X45" i="12"/>
  <c r="AW42" i="14" l="1"/>
  <c r="AZ42" i="14" s="1"/>
  <c r="AX42" i="14"/>
  <c r="AJ44" i="13"/>
  <c r="AN44" i="13" s="1"/>
  <c r="AI44" i="13"/>
  <c r="T45" i="13"/>
  <c r="U45" i="13" s="1"/>
  <c r="AJ45" i="12"/>
  <c r="AN45" i="12" s="1"/>
  <c r="AI45" i="12"/>
  <c r="T46" i="12"/>
  <c r="U46" i="12" s="1"/>
  <c r="AY42" i="14" l="1"/>
  <c r="BA42" i="14" s="1"/>
  <c r="W43" i="14" s="1"/>
  <c r="AM44" i="13"/>
  <c r="AK44" i="13"/>
  <c r="AO44" i="13" s="1"/>
  <c r="AM45" i="12"/>
  <c r="AK45" i="12"/>
  <c r="AO45" i="12" s="1"/>
  <c r="AP45" i="12" s="1"/>
  <c r="X43" i="14" l="1"/>
  <c r="AP44" i="13"/>
  <c r="AL44" i="13"/>
  <c r="AS44" i="13"/>
  <c r="AQ45" i="12"/>
  <c r="AT45" i="12" s="1"/>
  <c r="AS45" i="12"/>
  <c r="AR45" i="12"/>
  <c r="AL45" i="12"/>
  <c r="AJ43" i="14" l="1"/>
  <c r="AN43" i="14" s="1"/>
  <c r="AI43" i="14"/>
  <c r="T44" i="14"/>
  <c r="U44" i="14" s="1"/>
  <c r="AQ44" i="13"/>
  <c r="AT44" i="13" s="1"/>
  <c r="AR44" i="13"/>
  <c r="AU45" i="12"/>
  <c r="AV45" i="12" s="1"/>
  <c r="AM43" i="14" l="1"/>
  <c r="AK43" i="14"/>
  <c r="AO43" i="14" s="1"/>
  <c r="AP43" i="14"/>
  <c r="AU44" i="13"/>
  <c r="AV44" i="13"/>
  <c r="AW45" i="12"/>
  <c r="AZ45" i="12" s="1"/>
  <c r="AX45" i="12"/>
  <c r="AQ43" i="14" l="1"/>
  <c r="AT43" i="14" s="1"/>
  <c r="AR43" i="14"/>
  <c r="AS43" i="14"/>
  <c r="AL43" i="14"/>
  <c r="AW44" i="13"/>
  <c r="AZ44" i="13" s="1"/>
  <c r="AY44" i="13"/>
  <c r="AX44" i="13"/>
  <c r="AY45" i="12"/>
  <c r="BA45" i="12" s="1"/>
  <c r="W46" i="12" s="1"/>
  <c r="AU43" i="14" l="1"/>
  <c r="AV43" i="14"/>
  <c r="BA44" i="13"/>
  <c r="W45" i="13" s="1"/>
  <c r="X46" i="12"/>
  <c r="AW43" i="14" l="1"/>
  <c r="AZ43" i="14" s="1"/>
  <c r="AX43" i="14"/>
  <c r="X45" i="13"/>
  <c r="AJ46" i="12"/>
  <c r="AN46" i="12" s="1"/>
  <c r="AI46" i="12"/>
  <c r="T47" i="12"/>
  <c r="U47" i="12" s="1"/>
  <c r="AY43" i="14" l="1"/>
  <c r="BA43" i="14" s="1"/>
  <c r="W44" i="14" s="1"/>
  <c r="AJ45" i="13"/>
  <c r="AN45" i="13" s="1"/>
  <c r="AI45" i="13"/>
  <c r="T46" i="13"/>
  <c r="U46" i="13" s="1"/>
  <c r="AM46" i="12"/>
  <c r="AK46" i="12"/>
  <c r="AO46" i="12" s="1"/>
  <c r="X44" i="14" l="1"/>
  <c r="AM45" i="13"/>
  <c r="AK45" i="13"/>
  <c r="AO45" i="13" s="1"/>
  <c r="AL46" i="12"/>
  <c r="AP46" i="12"/>
  <c r="AS46" i="12"/>
  <c r="AJ44" i="14" l="1"/>
  <c r="AN44" i="14" s="1"/>
  <c r="AI44" i="14"/>
  <c r="T45" i="14"/>
  <c r="U45" i="14" s="1"/>
  <c r="AL45" i="13"/>
  <c r="AS45" i="13"/>
  <c r="AP45" i="13"/>
  <c r="AQ46" i="12"/>
  <c r="AT46" i="12" s="1"/>
  <c r="AR46" i="12"/>
  <c r="AM44" i="14" l="1"/>
  <c r="AK44" i="14"/>
  <c r="AO44" i="14" s="1"/>
  <c r="AQ45" i="13"/>
  <c r="AT45" i="13" s="1"/>
  <c r="AR45" i="13"/>
  <c r="AU46" i="12"/>
  <c r="AV46" i="12"/>
  <c r="AS44" i="14" l="1"/>
  <c r="AL44" i="14"/>
  <c r="AP44" i="14"/>
  <c r="AU45" i="13"/>
  <c r="AV45" i="13" s="1"/>
  <c r="AX46" i="12"/>
  <c r="AW46" i="12"/>
  <c r="AZ46" i="12" s="1"/>
  <c r="AQ44" i="14" l="1"/>
  <c r="AT44" i="14" s="1"/>
  <c r="AR44" i="14"/>
  <c r="AX45" i="13"/>
  <c r="AW45" i="13"/>
  <c r="AZ45" i="13" s="1"/>
  <c r="AY46" i="12"/>
  <c r="BA46" i="12" s="1"/>
  <c r="W47" i="12" s="1"/>
  <c r="AU44" i="14" l="1"/>
  <c r="AV44" i="14"/>
  <c r="AY45" i="13"/>
  <c r="BA45" i="13" s="1"/>
  <c r="W46" i="13" s="1"/>
  <c r="X47" i="12"/>
  <c r="AW44" i="14" l="1"/>
  <c r="AZ44" i="14" s="1"/>
  <c r="AX44" i="14"/>
  <c r="X46" i="13"/>
  <c r="AJ47" i="12"/>
  <c r="AN47" i="12" s="1"/>
  <c r="AI47" i="12"/>
  <c r="AK47" i="12" s="1"/>
  <c r="AO47" i="12" s="1"/>
  <c r="T48" i="12"/>
  <c r="U48" i="12" s="1"/>
  <c r="AY44" i="14" l="1"/>
  <c r="BA44" i="14" s="1"/>
  <c r="W45" i="14" s="1"/>
  <c r="AJ46" i="13"/>
  <c r="AN46" i="13" s="1"/>
  <c r="AI46" i="13"/>
  <c r="T47" i="13"/>
  <c r="U47" i="13" s="1"/>
  <c r="AL47" i="12"/>
  <c r="AM47" i="12"/>
  <c r="AP47" i="12"/>
  <c r="X45" i="14" l="1"/>
  <c r="AM46" i="13"/>
  <c r="AK46" i="13"/>
  <c r="AO46" i="13" s="1"/>
  <c r="AQ47" i="12"/>
  <c r="AT47" i="12" s="1"/>
  <c r="AS47" i="12"/>
  <c r="AR47" i="12"/>
  <c r="AJ45" i="14" l="1"/>
  <c r="AN45" i="14" s="1"/>
  <c r="AI45" i="14"/>
  <c r="T46" i="14"/>
  <c r="U46" i="14" s="1"/>
  <c r="AP46" i="13"/>
  <c r="AL46" i="13"/>
  <c r="AS46" i="13"/>
  <c r="AU47" i="12"/>
  <c r="AV47" i="12" s="1"/>
  <c r="AM45" i="14" l="1"/>
  <c r="AK45" i="14"/>
  <c r="AO45" i="14" s="1"/>
  <c r="AQ46" i="13"/>
  <c r="AT46" i="13" s="1"/>
  <c r="AR46" i="13"/>
  <c r="AX47" i="12"/>
  <c r="AW47" i="12"/>
  <c r="AZ47" i="12" s="1"/>
  <c r="AP45" i="14" l="1"/>
  <c r="AS45" i="14"/>
  <c r="AL45" i="14"/>
  <c r="AU46" i="13"/>
  <c r="AV46" i="13"/>
  <c r="AY47" i="12"/>
  <c r="BA47" i="12" s="1"/>
  <c r="W48" i="12" s="1"/>
  <c r="AQ45" i="14" l="1"/>
  <c r="AT45" i="14" s="1"/>
  <c r="AR45" i="14"/>
  <c r="AX46" i="13"/>
  <c r="AW46" i="13"/>
  <c r="AZ46" i="13" s="1"/>
  <c r="X48" i="12"/>
  <c r="AU45" i="14" l="1"/>
  <c r="AV45" i="14"/>
  <c r="AY46" i="13"/>
  <c r="BA46" i="13" s="1"/>
  <c r="W47" i="13" s="1"/>
  <c r="X47" i="13" s="1"/>
  <c r="AJ48" i="12"/>
  <c r="AN48" i="12" s="1"/>
  <c r="AI48" i="12"/>
  <c r="T49" i="12"/>
  <c r="U49" i="12" s="1"/>
  <c r="AX45" i="14" l="1"/>
  <c r="AW45" i="14"/>
  <c r="AZ45" i="14" s="1"/>
  <c r="AJ47" i="13"/>
  <c r="AN47" i="13" s="1"/>
  <c r="AI47" i="13"/>
  <c r="T48" i="13"/>
  <c r="U48" i="13" s="1"/>
  <c r="AM48" i="12"/>
  <c r="AK48" i="12"/>
  <c r="AO48" i="12" s="1"/>
  <c r="AY45" i="14" l="1"/>
  <c r="BA45" i="14" s="1"/>
  <c r="W46" i="14" s="1"/>
  <c r="AM47" i="13"/>
  <c r="AK47" i="13"/>
  <c r="AO47" i="13" s="1"/>
  <c r="AP47" i="13"/>
  <c r="AL48" i="12"/>
  <c r="AP48" i="12"/>
  <c r="AS48" i="12"/>
  <c r="X46" i="14" l="1"/>
  <c r="AQ47" i="13"/>
  <c r="AT47" i="13" s="1"/>
  <c r="AR47" i="13"/>
  <c r="AS47" i="13"/>
  <c r="AL47" i="13"/>
  <c r="AQ48" i="12"/>
  <c r="AT48" i="12" s="1"/>
  <c r="AR48" i="12"/>
  <c r="AJ46" i="14" l="1"/>
  <c r="AN46" i="14" s="1"/>
  <c r="AI46" i="14"/>
  <c r="T47" i="14"/>
  <c r="U47" i="14" s="1"/>
  <c r="AU47" i="13"/>
  <c r="AV47" i="13" s="1"/>
  <c r="AU48" i="12"/>
  <c r="AV48" i="12"/>
  <c r="AM46" i="14" l="1"/>
  <c r="AK46" i="14"/>
  <c r="AO46" i="14" s="1"/>
  <c r="AX47" i="13"/>
  <c r="AW47" i="13"/>
  <c r="AZ47" i="13" s="1"/>
  <c r="AX48" i="12"/>
  <c r="AW48" i="12"/>
  <c r="AY48" i="12" s="1"/>
  <c r="AZ48" i="12"/>
  <c r="AP46" i="14" l="1"/>
  <c r="AL46" i="14"/>
  <c r="AS46" i="14"/>
  <c r="AY47" i="13"/>
  <c r="BA47" i="13" s="1"/>
  <c r="W48" i="13" s="1"/>
  <c r="BA48" i="12"/>
  <c r="W49" i="12" s="1"/>
  <c r="X49" i="12"/>
  <c r="AQ46" i="14" l="1"/>
  <c r="AT46" i="14" s="1"/>
  <c r="AR46" i="14"/>
  <c r="X48" i="13"/>
  <c r="AJ49" i="12"/>
  <c r="AN49" i="12" s="1"/>
  <c r="AI49" i="12"/>
  <c r="AK49" i="12" s="1"/>
  <c r="AO49" i="12" s="1"/>
  <c r="T50" i="12"/>
  <c r="U50" i="12" s="1"/>
  <c r="AU46" i="14" l="1"/>
  <c r="AV46" i="14"/>
  <c r="AJ48" i="13"/>
  <c r="AN48" i="13" s="1"/>
  <c r="AI48" i="13"/>
  <c r="T49" i="13"/>
  <c r="U49" i="13" s="1"/>
  <c r="AM49" i="12"/>
  <c r="AL49" i="12"/>
  <c r="AP49" i="12"/>
  <c r="AQ49" i="12"/>
  <c r="AX46" i="14" l="1"/>
  <c r="AW46" i="14"/>
  <c r="AZ46" i="14" s="1"/>
  <c r="AM48" i="13"/>
  <c r="AK48" i="13"/>
  <c r="AO48" i="13" s="1"/>
  <c r="AT49" i="12"/>
  <c r="AS49" i="12"/>
  <c r="AU49" i="12" s="1"/>
  <c r="AR49" i="12"/>
  <c r="AY46" i="14" l="1"/>
  <c r="BA46" i="14" s="1"/>
  <c r="W47" i="14" s="1"/>
  <c r="AP48" i="13"/>
  <c r="AL48" i="13"/>
  <c r="AS48" i="13"/>
  <c r="AV49" i="12"/>
  <c r="X47" i="14" l="1"/>
  <c r="AQ48" i="13"/>
  <c r="AT48" i="13" s="1"/>
  <c r="AR48" i="13"/>
  <c r="AX49" i="12"/>
  <c r="AW49" i="12"/>
  <c r="AZ49" i="12"/>
  <c r="AY49" i="12"/>
  <c r="AJ47" i="14" l="1"/>
  <c r="AN47" i="14" s="1"/>
  <c r="AI47" i="14"/>
  <c r="T48" i="14"/>
  <c r="U48" i="14" s="1"/>
  <c r="AU48" i="13"/>
  <c r="AV48" i="13"/>
  <c r="BA49" i="12"/>
  <c r="W50" i="12" s="1"/>
  <c r="AM47" i="14" l="1"/>
  <c r="AK47" i="14"/>
  <c r="AO47" i="14" s="1"/>
  <c r="AP47" i="14"/>
  <c r="AX48" i="13"/>
  <c r="AW48" i="13"/>
  <c r="AY48" i="13" s="1"/>
  <c r="X50" i="12"/>
  <c r="AQ47" i="14" l="1"/>
  <c r="AT47" i="14" s="1"/>
  <c r="AR47" i="14"/>
  <c r="AL47" i="14"/>
  <c r="AS47" i="14"/>
  <c r="AZ48" i="13"/>
  <c r="BA48" i="13" s="1"/>
  <c r="W49" i="13" s="1"/>
  <c r="AJ50" i="12"/>
  <c r="AN50" i="12" s="1"/>
  <c r="AI50" i="12"/>
  <c r="T51" i="12"/>
  <c r="U51" i="12" s="1"/>
  <c r="AU47" i="14" l="1"/>
  <c r="AV47" i="14"/>
  <c r="X49" i="13"/>
  <c r="AM50" i="12"/>
  <c r="AK50" i="12"/>
  <c r="AO50" i="12" s="1"/>
  <c r="AX47" i="14" l="1"/>
  <c r="AW47" i="14"/>
  <c r="AZ47" i="14" s="1"/>
  <c r="AJ49" i="13"/>
  <c r="AN49" i="13" s="1"/>
  <c r="AI49" i="13"/>
  <c r="T50" i="13"/>
  <c r="U50" i="13" s="1"/>
  <c r="AP50" i="12"/>
  <c r="AR50" i="12" s="1"/>
  <c r="AL50" i="12"/>
  <c r="AS50" i="12"/>
  <c r="AY47" i="14" l="1"/>
  <c r="BA47" i="14" s="1"/>
  <c r="W48" i="14" s="1"/>
  <c r="AM49" i="13"/>
  <c r="AK49" i="13"/>
  <c r="AO49" i="13" s="1"/>
  <c r="AP49" i="13"/>
  <c r="AQ49" i="13"/>
  <c r="AQ50" i="12"/>
  <c r="AT50" i="12" s="1"/>
  <c r="X48" i="14" l="1"/>
  <c r="AT49" i="13"/>
  <c r="AR49" i="13"/>
  <c r="AL49" i="13"/>
  <c r="AS49" i="13"/>
  <c r="AU49" i="13" s="1"/>
  <c r="AU50" i="12"/>
  <c r="AV50" i="12"/>
  <c r="AJ48" i="14" l="1"/>
  <c r="AN48" i="14" s="1"/>
  <c r="AI48" i="14"/>
  <c r="T49" i="14"/>
  <c r="U49" i="14" s="1"/>
  <c r="AV49" i="13"/>
  <c r="AW50" i="12"/>
  <c r="AY50" i="12"/>
  <c r="AZ50" i="12"/>
  <c r="AX50" i="12"/>
  <c r="AM48" i="14" l="1"/>
  <c r="AK48" i="14"/>
  <c r="AO48" i="14" s="1"/>
  <c r="AX49" i="13"/>
  <c r="AW49" i="13"/>
  <c r="AZ49" i="13" s="1"/>
  <c r="BA50" i="12"/>
  <c r="W51" i="12" s="1"/>
  <c r="AP48" i="14" l="1"/>
  <c r="AL48" i="14"/>
  <c r="AS48" i="14"/>
  <c r="AY49" i="13"/>
  <c r="BA49" i="13"/>
  <c r="W50" i="13" s="1"/>
  <c r="X51" i="12"/>
  <c r="AQ48" i="14" l="1"/>
  <c r="AT48" i="14" s="1"/>
  <c r="AR48" i="14"/>
  <c r="X50" i="13"/>
  <c r="AJ51" i="12"/>
  <c r="AN51" i="12" s="1"/>
  <c r="AI51" i="12"/>
  <c r="T52" i="12"/>
  <c r="U52" i="12" s="1"/>
  <c r="AU48" i="14" l="1"/>
  <c r="AV48" i="14"/>
  <c r="AJ50" i="13"/>
  <c r="AN50" i="13" s="1"/>
  <c r="AI50" i="13"/>
  <c r="T51" i="13"/>
  <c r="U51" i="13" s="1"/>
  <c r="AM51" i="12"/>
  <c r="AK51" i="12"/>
  <c r="AO51" i="12" s="1"/>
  <c r="AX48" i="14" l="1"/>
  <c r="AW48" i="14"/>
  <c r="AY48" i="14" s="1"/>
  <c r="AM50" i="13"/>
  <c r="AK50" i="13"/>
  <c r="AO50" i="13" s="1"/>
  <c r="AP51" i="12"/>
  <c r="AL51" i="12"/>
  <c r="AS51" i="12"/>
  <c r="AZ48" i="14" l="1"/>
  <c r="BA48" i="14" s="1"/>
  <c r="W49" i="14" s="1"/>
  <c r="X49" i="14" s="1"/>
  <c r="AL50" i="13"/>
  <c r="AP50" i="13"/>
  <c r="AS50" i="13"/>
  <c r="AQ51" i="12"/>
  <c r="AT51" i="12" s="1"/>
  <c r="AR51" i="12"/>
  <c r="AJ49" i="14" l="1"/>
  <c r="AN49" i="14" s="1"/>
  <c r="AI49" i="14"/>
  <c r="T50" i="14"/>
  <c r="U50" i="14" s="1"/>
  <c r="AQ50" i="13"/>
  <c r="AT50" i="13" s="1"/>
  <c r="AR50" i="13"/>
  <c r="AU51" i="12"/>
  <c r="AV51" i="12"/>
  <c r="AM49" i="14" l="1"/>
  <c r="AK49" i="14"/>
  <c r="AO49" i="14" s="1"/>
  <c r="AU50" i="13"/>
  <c r="AV50" i="13" s="1"/>
  <c r="AX51" i="12"/>
  <c r="AW51" i="12"/>
  <c r="AZ51" i="12" s="1"/>
  <c r="AL49" i="14" l="1"/>
  <c r="AS49" i="14"/>
  <c r="AP49" i="14"/>
  <c r="AW50" i="13"/>
  <c r="AY50" i="13" s="1"/>
  <c r="AX50" i="13"/>
  <c r="AZ50" i="13"/>
  <c r="AY51" i="12"/>
  <c r="BA51" i="12" s="1"/>
  <c r="W52" i="12" s="1"/>
  <c r="AQ49" i="14" l="1"/>
  <c r="AT49" i="14" s="1"/>
  <c r="AR49" i="14"/>
  <c r="BA50" i="13"/>
  <c r="W51" i="13" s="1"/>
  <c r="X51" i="13" s="1"/>
  <c r="X52" i="12"/>
  <c r="AU49" i="14" l="1"/>
  <c r="AV49" i="14" s="1"/>
  <c r="AJ51" i="13"/>
  <c r="AN51" i="13" s="1"/>
  <c r="AI51" i="13"/>
  <c r="T52" i="13"/>
  <c r="U52" i="13" s="1"/>
  <c r="AJ52" i="12"/>
  <c r="AN52" i="12" s="1"/>
  <c r="AI52" i="12"/>
  <c r="T53" i="12"/>
  <c r="U53" i="12" s="1"/>
  <c r="AX49" i="14" l="1"/>
  <c r="AW49" i="14"/>
  <c r="AZ49" i="14" s="1"/>
  <c r="AM51" i="13"/>
  <c r="AK51" i="13"/>
  <c r="AO51" i="13" s="1"/>
  <c r="AM52" i="12"/>
  <c r="AK52" i="12"/>
  <c r="AO52" i="12" s="1"/>
  <c r="AY49" i="14" l="1"/>
  <c r="BA49" i="14" s="1"/>
  <c r="W50" i="14" s="1"/>
  <c r="AL51" i="13"/>
  <c r="AP51" i="13"/>
  <c r="AS51" i="13"/>
  <c r="AL52" i="12"/>
  <c r="AP52" i="12"/>
  <c r="AS52" i="12"/>
  <c r="X50" i="14" l="1"/>
  <c r="AQ51" i="13"/>
  <c r="AT51" i="13" s="1"/>
  <c r="AR51" i="13"/>
  <c r="AQ52" i="12"/>
  <c r="AT52" i="12" s="1"/>
  <c r="AR52" i="12"/>
  <c r="AJ50" i="14" l="1"/>
  <c r="AN50" i="14" s="1"/>
  <c r="AI50" i="14"/>
  <c r="T51" i="14"/>
  <c r="U51" i="14" s="1"/>
  <c r="AU51" i="13"/>
  <c r="AV51" i="13" s="1"/>
  <c r="AU52" i="12"/>
  <c r="AV52" i="12" s="1"/>
  <c r="AM50" i="14" l="1"/>
  <c r="AK50" i="14"/>
  <c r="AO50" i="14" s="1"/>
  <c r="AX51" i="13"/>
  <c r="AW51" i="13"/>
  <c r="AZ51" i="13"/>
  <c r="AY51" i="13"/>
  <c r="AW52" i="12"/>
  <c r="AZ52" i="12"/>
  <c r="AY52" i="12"/>
  <c r="BA52" i="12" s="1"/>
  <c r="W53" i="12" s="1"/>
  <c r="AX52" i="12"/>
  <c r="BA51" i="13" l="1"/>
  <c r="W52" i="13" s="1"/>
  <c r="AS50" i="14"/>
  <c r="AL50" i="14"/>
  <c r="AP50" i="14"/>
  <c r="X52" i="13"/>
  <c r="X53" i="12"/>
  <c r="AQ50" i="14" l="1"/>
  <c r="AT50" i="14" s="1"/>
  <c r="AR50" i="14"/>
  <c r="AJ52" i="13"/>
  <c r="AN52" i="13" s="1"/>
  <c r="AI52" i="13"/>
  <c r="T53" i="13"/>
  <c r="U53" i="13" s="1"/>
  <c r="AJ53" i="12"/>
  <c r="AN53" i="12" s="1"/>
  <c r="AI53" i="12"/>
  <c r="T54" i="12"/>
  <c r="U54" i="12" s="1"/>
  <c r="AU50" i="14" l="1"/>
  <c r="AV50" i="14" s="1"/>
  <c r="AM52" i="13"/>
  <c r="AK52" i="13"/>
  <c r="AO52" i="13" s="1"/>
  <c r="AM53" i="12"/>
  <c r="AK53" i="12"/>
  <c r="AO53" i="12" s="1"/>
  <c r="AW50" i="14" l="1"/>
  <c r="AZ50" i="14" s="1"/>
  <c r="AY50" i="14"/>
  <c r="AX50" i="14"/>
  <c r="AL52" i="13"/>
  <c r="AP52" i="13"/>
  <c r="AS52" i="13"/>
  <c r="AP53" i="12"/>
  <c r="AS53" i="12"/>
  <c r="AL53" i="12"/>
  <c r="BA50" i="14" l="1"/>
  <c r="W51" i="14" s="1"/>
  <c r="AQ52" i="13"/>
  <c r="AT52" i="13" s="1"/>
  <c r="AR52" i="13"/>
  <c r="AQ53" i="12"/>
  <c r="AT53" i="12" s="1"/>
  <c r="AR53" i="12"/>
  <c r="X51" i="14" l="1"/>
  <c r="AU52" i="13"/>
  <c r="AV52" i="13"/>
  <c r="AU53" i="12"/>
  <c r="AV53" i="12"/>
  <c r="AJ51" i="14" l="1"/>
  <c r="AN51" i="14" s="1"/>
  <c r="AI51" i="14"/>
  <c r="T52" i="14"/>
  <c r="U52" i="14" s="1"/>
  <c r="AW52" i="13"/>
  <c r="AZ52" i="13" s="1"/>
  <c r="AX52" i="13"/>
  <c r="AX53" i="12"/>
  <c r="AW53" i="12"/>
  <c r="AZ53" i="12" s="1"/>
  <c r="AY52" i="13" l="1"/>
  <c r="AM51" i="14"/>
  <c r="AK51" i="14"/>
  <c r="AO51" i="14" s="1"/>
  <c r="BA52" i="13"/>
  <c r="W53" i="13" s="1"/>
  <c r="AY53" i="12"/>
  <c r="BA53" i="12" s="1"/>
  <c r="W54" i="12" s="1"/>
  <c r="AP51" i="14" l="1"/>
  <c r="AL51" i="14"/>
  <c r="AS51" i="14"/>
  <c r="X53" i="13"/>
  <c r="X54" i="12"/>
  <c r="AQ51" i="14" l="1"/>
  <c r="AT51" i="14" s="1"/>
  <c r="AR51" i="14"/>
  <c r="AJ53" i="13"/>
  <c r="AN53" i="13" s="1"/>
  <c r="AI53" i="13"/>
  <c r="T54" i="13"/>
  <c r="U54" i="13" s="1"/>
  <c r="AJ54" i="12"/>
  <c r="AN54" i="12" s="1"/>
  <c r="AI54" i="12"/>
  <c r="AU51" i="14" l="1"/>
  <c r="AV51" i="14"/>
  <c r="AM53" i="13"/>
  <c r="AK53" i="13"/>
  <c r="AO53" i="13" s="1"/>
  <c r="AM54" i="12"/>
  <c r="AK54" i="12"/>
  <c r="AO54" i="12" s="1"/>
  <c r="AX51" i="14" l="1"/>
  <c r="AW51" i="14"/>
  <c r="AZ51" i="14" s="1"/>
  <c r="AP53" i="13"/>
  <c r="AS53" i="13"/>
  <c r="AL53" i="13"/>
  <c r="AP54" i="12"/>
  <c r="AL54" i="12"/>
  <c r="AS54" i="12"/>
  <c r="AY51" i="14" l="1"/>
  <c r="BA51" i="14" s="1"/>
  <c r="W52" i="14" s="1"/>
  <c r="AQ53" i="13"/>
  <c r="AT53" i="13" s="1"/>
  <c r="AR53" i="13"/>
  <c r="AQ54" i="12"/>
  <c r="AT54" i="12" s="1"/>
  <c r="AR54" i="12"/>
  <c r="X52" i="14" l="1"/>
  <c r="AU53" i="13"/>
  <c r="AV53" i="13"/>
  <c r="AV54" i="12"/>
  <c r="AU54" i="12"/>
  <c r="AJ52" i="14" l="1"/>
  <c r="AN52" i="14" s="1"/>
  <c r="AI52" i="14"/>
  <c r="T53" i="14"/>
  <c r="U53" i="14" s="1"/>
  <c r="AX53" i="13"/>
  <c r="AW53" i="13"/>
  <c r="AZ53" i="13" s="1"/>
  <c r="AX54" i="12"/>
  <c r="AW54" i="12"/>
  <c r="AZ54" i="12" s="1"/>
  <c r="AM52" i="14" l="1"/>
  <c r="AK52" i="14"/>
  <c r="AO52" i="14" s="1"/>
  <c r="AY53" i="13"/>
  <c r="BA53" i="13" s="1"/>
  <c r="W54" i="13" s="1"/>
  <c r="AY54" i="12"/>
  <c r="BA54" i="12" s="1"/>
  <c r="AP52" i="14" l="1"/>
  <c r="AL52" i="14"/>
  <c r="AS52" i="14"/>
  <c r="X54" i="13"/>
  <c r="AQ52" i="14" l="1"/>
  <c r="AT52" i="14" s="1"/>
  <c r="AR52" i="14"/>
  <c r="AJ54" i="13"/>
  <c r="AN54" i="13" s="1"/>
  <c r="AI54" i="13"/>
  <c r="AU52" i="14" l="1"/>
  <c r="AV52" i="14"/>
  <c r="AM54" i="13"/>
  <c r="AK54" i="13"/>
  <c r="AO54" i="13" s="1"/>
  <c r="AX52" i="14" l="1"/>
  <c r="AW52" i="14"/>
  <c r="AZ52" i="14" s="1"/>
  <c r="AL54" i="13"/>
  <c r="AS54" i="13"/>
  <c r="AP54" i="13"/>
  <c r="AY52" i="14" l="1"/>
  <c r="BA52" i="14" s="1"/>
  <c r="W53" i="14" s="1"/>
  <c r="AQ54" i="13"/>
  <c r="AT54" i="13" s="1"/>
  <c r="AR54" i="13"/>
  <c r="X53" i="14" l="1"/>
  <c r="AU54" i="13"/>
  <c r="AV54" i="13"/>
  <c r="AJ53" i="14" l="1"/>
  <c r="AN53" i="14" s="1"/>
  <c r="AI53" i="14"/>
  <c r="T54" i="14"/>
  <c r="U54" i="14" s="1"/>
  <c r="AX54" i="13"/>
  <c r="AW54" i="13"/>
  <c r="AZ54" i="13" s="1"/>
  <c r="AM53" i="14" l="1"/>
  <c r="AK53" i="14"/>
  <c r="AO53" i="14" s="1"/>
  <c r="AY54" i="13"/>
  <c r="BA54" i="13" s="1"/>
  <c r="AS53" i="14" l="1"/>
  <c r="AL53" i="14"/>
  <c r="AP53" i="14"/>
  <c r="AQ53" i="14" l="1"/>
  <c r="AT53" i="14" s="1"/>
  <c r="AR53" i="14"/>
  <c r="AU53" i="14" l="1"/>
  <c r="AV53" i="14"/>
  <c r="AX53" i="14" l="1"/>
  <c r="AW53" i="14"/>
  <c r="AZ53" i="14" s="1"/>
  <c r="AY53" i="14" l="1"/>
  <c r="BA53" i="14" s="1"/>
  <c r="W54" i="14" s="1"/>
  <c r="X54" i="14" l="1"/>
  <c r="AJ54" i="14" l="1"/>
  <c r="AN54" i="14" s="1"/>
  <c r="AI54" i="14"/>
  <c r="AM54" i="14" l="1"/>
  <c r="AK54" i="14"/>
  <c r="AO54" i="14" s="1"/>
  <c r="AS54" i="14" l="1"/>
  <c r="AL54" i="14"/>
  <c r="AP54" i="14"/>
  <c r="AQ54" i="14" l="1"/>
  <c r="AT54" i="14" s="1"/>
  <c r="AR54" i="14"/>
  <c r="U5" i="6"/>
  <c r="W5" i="6" l="1"/>
  <c r="X5" i="6" s="1"/>
  <c r="AU54" i="14"/>
  <c r="AV54" i="14" s="1"/>
  <c r="AJ5" i="6" l="1"/>
  <c r="AN5" i="6" s="1"/>
  <c r="AI5" i="6"/>
  <c r="AM5" i="6" s="1"/>
  <c r="T6" i="6"/>
  <c r="AX54" i="14"/>
  <c r="AW54" i="14"/>
  <c r="AZ54" i="14" s="1"/>
  <c r="AK5" i="6" l="1"/>
  <c r="AV5" i="6"/>
  <c r="AS5" i="6"/>
  <c r="AY54" i="14"/>
  <c r="BA54" i="14" s="1"/>
  <c r="AO5" i="6"/>
  <c r="AP5" i="6" s="1"/>
  <c r="AT5" i="6" s="1"/>
  <c r="AU5" i="6" s="1"/>
  <c r="AL5" i="6"/>
  <c r="U6" i="6"/>
  <c r="AR5" i="6" l="1"/>
  <c r="AQ5" i="6"/>
  <c r="AW5" i="6"/>
  <c r="AY5" i="6" s="1"/>
  <c r="AX5" i="6"/>
  <c r="AZ5" i="6"/>
  <c r="BA5" i="6" l="1"/>
  <c r="W6" i="6" s="1"/>
  <c r="X6" i="6" s="1"/>
  <c r="T7" i="6" s="1"/>
  <c r="AJ6" i="6"/>
  <c r="AN6" i="6" s="1"/>
  <c r="AI6" i="6" l="1"/>
  <c r="AM6" i="6" s="1"/>
  <c r="AK6" i="6"/>
  <c r="AO6" i="6" s="1"/>
  <c r="AP6" i="6" l="1"/>
  <c r="AL6" i="6"/>
  <c r="AV6" i="6"/>
  <c r="AS6" i="6"/>
  <c r="AW6" i="6" l="1"/>
  <c r="AY6" i="6" s="1"/>
  <c r="AX6" i="6"/>
  <c r="AZ6" i="6"/>
  <c r="AT6" i="6"/>
  <c r="AU6" i="6" s="1"/>
  <c r="AQ6" i="6"/>
  <c r="AR6" i="6"/>
  <c r="BA6" i="6" l="1"/>
  <c r="U7" i="6" s="1"/>
  <c r="W7" i="6" s="1"/>
  <c r="X7" i="6" l="1"/>
  <c r="T8" i="6" s="1"/>
  <c r="AI7" i="6" l="1"/>
  <c r="AJ7" i="6"/>
  <c r="AN7" i="6" s="1"/>
  <c r="AM7" i="6" l="1"/>
  <c r="AK7" i="6"/>
  <c r="AO7" i="6" s="1"/>
  <c r="AL7" i="6" l="1"/>
  <c r="AV7" i="6"/>
  <c r="AS7" i="6"/>
  <c r="AP7" i="6"/>
  <c r="AT7" i="6" l="1"/>
  <c r="AQ7" i="6"/>
  <c r="AU7" i="6"/>
  <c r="AX7" i="6"/>
  <c r="AW7" i="6"/>
  <c r="AZ7" i="6" s="1"/>
  <c r="AR7" i="6"/>
  <c r="AY7" i="6" l="1"/>
  <c r="BA7" i="6" s="1"/>
  <c r="U8" i="6" l="1"/>
  <c r="W8" i="6" s="1"/>
  <c r="X8" i="6" l="1"/>
  <c r="T9" i="6" s="1"/>
  <c r="AI8" i="6" l="1"/>
  <c r="AJ8" i="6"/>
  <c r="AN8" i="6" s="1"/>
  <c r="AK8" i="6" l="1"/>
  <c r="AO8" i="6" s="1"/>
  <c r="AP8" i="6" s="1"/>
  <c r="AT8" i="6" s="1"/>
  <c r="AM8" i="6"/>
  <c r="AL8" i="6" l="1"/>
  <c r="AV8" i="6"/>
  <c r="AS8" i="6"/>
  <c r="AU8" i="6" s="1"/>
  <c r="AQ8" i="6"/>
  <c r="AR8" i="6"/>
  <c r="AW8" i="6" l="1"/>
  <c r="AY8" i="6" s="1"/>
  <c r="AX8" i="6"/>
  <c r="AZ8" i="6"/>
  <c r="BA8" i="6" l="1"/>
  <c r="U9" i="6"/>
  <c r="W9" i="6" s="1"/>
  <c r="X9" i="6" l="1"/>
  <c r="T10" i="6" s="1"/>
  <c r="AI9" i="6" l="1"/>
  <c r="AJ9" i="6"/>
  <c r="AN9" i="6" s="1"/>
  <c r="AK9" i="6" l="1"/>
  <c r="AO9" i="6" s="1"/>
  <c r="AP9" i="6" s="1"/>
  <c r="AT9" i="6" s="1"/>
  <c r="AL9" i="6"/>
  <c r="AM9" i="6"/>
  <c r="AQ9" i="6" l="1"/>
  <c r="AV9" i="6"/>
  <c r="AS9" i="6"/>
  <c r="AU9" i="6" s="1"/>
  <c r="AR9" i="6"/>
  <c r="AX9" i="6" l="1"/>
  <c r="AW9" i="6"/>
  <c r="AY9" i="6" s="1"/>
  <c r="AZ9" i="6" l="1"/>
  <c r="BA9" i="6" s="1"/>
  <c r="U10" i="6" l="1"/>
  <c r="W10" i="6"/>
  <c r="X10" i="6" l="1"/>
  <c r="T11" i="6" s="1"/>
  <c r="AJ10" i="6" l="1"/>
  <c r="AN10" i="6" s="1"/>
  <c r="AI10" i="6"/>
  <c r="AK10" i="6" l="1"/>
  <c r="AO10" i="6" s="1"/>
  <c r="AM10" i="6"/>
  <c r="AP10" i="6"/>
  <c r="AT10" i="6" s="1"/>
  <c r="AL10" i="6" l="1"/>
  <c r="AQ10" i="6"/>
  <c r="AV10" i="6"/>
  <c r="AS10" i="6"/>
  <c r="AU10" i="6" s="1"/>
  <c r="AR10" i="6"/>
  <c r="AW10" i="6" l="1"/>
  <c r="AX10" i="6"/>
  <c r="AY10" i="6"/>
  <c r="AZ10" i="6"/>
  <c r="BA10" i="6" l="1"/>
  <c r="U11" i="6" l="1"/>
  <c r="W11" i="6" s="1"/>
  <c r="X11" i="6" l="1"/>
  <c r="T12" i="6" s="1"/>
  <c r="AJ11" i="6" l="1"/>
  <c r="AN11" i="6" s="1"/>
  <c r="AI11" i="6"/>
  <c r="AK11" i="6" s="1"/>
  <c r="AO11" i="6" s="1"/>
  <c r="AM11" i="6" l="1"/>
  <c r="AL11" i="6"/>
  <c r="AP11" i="6"/>
  <c r="AT11" i="6" s="1"/>
  <c r="AQ11" i="6" l="1"/>
  <c r="AV11" i="6"/>
  <c r="AS11" i="6"/>
  <c r="AU11" i="6" s="1"/>
  <c r="AR11" i="6"/>
  <c r="AX11" i="6" l="1"/>
  <c r="AW11" i="6"/>
  <c r="AZ11" i="6" s="1"/>
  <c r="AY11" i="6" l="1"/>
  <c r="BA11" i="6" s="1"/>
  <c r="U12" i="6" l="1"/>
  <c r="W12" i="6"/>
  <c r="X12" i="6" l="1"/>
  <c r="T13" i="6" s="1"/>
  <c r="AI12" i="6" l="1"/>
  <c r="AJ12" i="6"/>
  <c r="AN12" i="6" s="1"/>
  <c r="AM12" i="6" l="1"/>
  <c r="AK12" i="6"/>
  <c r="AO12" i="6" s="1"/>
  <c r="AL12" i="6" l="1"/>
  <c r="AV12" i="6"/>
  <c r="AS12" i="6"/>
  <c r="AP12" i="6"/>
  <c r="AT12" i="6" l="1"/>
  <c r="AQ12" i="6"/>
  <c r="AW12" i="6"/>
  <c r="AY12" i="6" s="1"/>
  <c r="AX12" i="6"/>
  <c r="AU12" i="6"/>
  <c r="AR12" i="6"/>
  <c r="AZ12" i="6" l="1"/>
  <c r="BA12" i="6" s="1"/>
  <c r="U13" i="6" l="1"/>
  <c r="W13" i="6"/>
  <c r="X13" i="6" l="1"/>
  <c r="T14" i="6" s="1"/>
  <c r="AI13" i="6" l="1"/>
  <c r="AJ13" i="6"/>
  <c r="AN13" i="6" s="1"/>
  <c r="AK13" i="6"/>
  <c r="AO13" i="6" s="1"/>
  <c r="AP13" i="6" l="1"/>
  <c r="AT13" i="6" s="1"/>
  <c r="AL13" i="6"/>
  <c r="AM13" i="6"/>
  <c r="AQ13" i="6" l="1"/>
  <c r="AR13" i="6"/>
  <c r="AV13" i="6"/>
  <c r="AS13" i="6"/>
  <c r="AU13" i="6" s="1"/>
  <c r="AW13" i="6" l="1"/>
  <c r="AY13" i="6" s="1"/>
  <c r="AX13" i="6"/>
  <c r="AZ13" i="6" l="1"/>
  <c r="BA13" i="6"/>
  <c r="U14" i="6"/>
  <c r="W14" i="6" l="1"/>
  <c r="X14" i="6"/>
  <c r="T15" i="6" s="1"/>
  <c r="AJ14" i="6" l="1"/>
  <c r="AN14" i="6" s="1"/>
  <c r="AI14" i="6"/>
  <c r="AM14" i="6" l="1"/>
  <c r="AK14" i="6"/>
  <c r="AO14" i="6" s="1"/>
  <c r="AP14" i="6" s="1"/>
  <c r="AT14" i="6" l="1"/>
  <c r="AQ14" i="6"/>
  <c r="AL14" i="6"/>
  <c r="AR14" i="6"/>
  <c r="AV14" i="6"/>
  <c r="AS14" i="6"/>
  <c r="AU14" i="6" s="1"/>
  <c r="AX14" i="6" l="1"/>
  <c r="AW14" i="6"/>
  <c r="AZ14" i="6" s="1"/>
  <c r="AY14" i="6" l="1"/>
  <c r="BA14" i="6" s="1"/>
  <c r="U15" i="6" l="1"/>
  <c r="W15" i="6" s="1"/>
  <c r="X15" i="6" l="1"/>
  <c r="T16" i="6" s="1"/>
  <c r="AJ15" i="6" l="1"/>
  <c r="AN15" i="6" s="1"/>
  <c r="AI15" i="6"/>
  <c r="AK15" i="6" s="1"/>
  <c r="AO15" i="6" s="1"/>
  <c r="AM15" i="6" l="1"/>
  <c r="AL15" i="6"/>
  <c r="AP15" i="6"/>
  <c r="AT15" i="6" s="1"/>
  <c r="AQ15" i="6" l="1"/>
  <c r="AV15" i="6"/>
  <c r="AS15" i="6"/>
  <c r="AU15" i="6" s="1"/>
  <c r="AR15" i="6"/>
  <c r="AX15" i="6" l="1"/>
  <c r="AW15" i="6"/>
  <c r="AZ15" i="6" s="1"/>
  <c r="AY15" i="6" l="1"/>
  <c r="BA15" i="6" s="1"/>
  <c r="U16" i="6" l="1"/>
  <c r="W16" i="6"/>
  <c r="X16" i="6" l="1"/>
  <c r="T17" i="6" s="1"/>
  <c r="AJ16" i="6" l="1"/>
  <c r="AN16" i="6" s="1"/>
  <c r="AI16" i="6"/>
  <c r="AK16" i="6"/>
  <c r="AO16" i="6" s="1"/>
  <c r="AL16" i="6" l="1"/>
  <c r="AM16" i="6"/>
  <c r="AP16" i="6"/>
  <c r="AT16" i="6" s="1"/>
  <c r="AQ16" i="6" l="1"/>
  <c r="AV16" i="6"/>
  <c r="AS16" i="6"/>
  <c r="AU16" i="6" s="1"/>
  <c r="AR16" i="6"/>
  <c r="AW16" i="6" l="1"/>
  <c r="AY16" i="6" s="1"/>
  <c r="AX16" i="6"/>
  <c r="AZ16" i="6" l="1"/>
  <c r="BA16" i="6" s="1"/>
  <c r="U17" i="6" l="1"/>
  <c r="W17" i="6"/>
  <c r="X17" i="6" l="1"/>
  <c r="T18" i="6" s="1"/>
  <c r="AI17" i="6" l="1"/>
  <c r="AJ17" i="6"/>
  <c r="AN17" i="6" s="1"/>
  <c r="AM17" i="6" l="1"/>
  <c r="AK17" i="6"/>
  <c r="AO17" i="6" s="1"/>
  <c r="AS17" i="6" l="1"/>
  <c r="AL17" i="6"/>
  <c r="AP17" i="6"/>
  <c r="AQ17" i="6" l="1"/>
  <c r="AT17" i="6" s="1"/>
  <c r="AR17" i="6"/>
  <c r="AU17" i="6" l="1"/>
  <c r="AV17" i="6"/>
  <c r="U18" i="6"/>
  <c r="AW17" i="6" l="1"/>
  <c r="AX17" i="6"/>
  <c r="AY17" i="6" l="1"/>
  <c r="AZ17" i="6"/>
  <c r="BA17" i="6" l="1"/>
  <c r="W18" i="6" s="1"/>
  <c r="X18" i="6" s="1"/>
  <c r="T19" i="6" l="1"/>
  <c r="AJ18" i="6"/>
  <c r="AN18" i="6" s="1"/>
  <c r="AI18" i="6"/>
  <c r="AM18" i="6" l="1"/>
  <c r="AK18" i="6"/>
  <c r="AO18" i="6" s="1"/>
  <c r="AP18" i="6" s="1"/>
  <c r="AQ18" i="6" l="1"/>
  <c r="AT18" i="6" s="1"/>
  <c r="AR18" i="6"/>
  <c r="AL18" i="6"/>
  <c r="AS18" i="6"/>
  <c r="U19" i="6"/>
  <c r="AU18" i="6" l="1"/>
  <c r="AV18" i="6" s="1"/>
  <c r="AX18" i="6" l="1"/>
  <c r="AW18" i="6"/>
  <c r="AY18" i="6" s="1"/>
  <c r="AZ18" i="6" l="1"/>
  <c r="BA18" i="6" s="1"/>
  <c r="W19" i="6" s="1"/>
  <c r="X19" i="6" s="1"/>
  <c r="T20" i="6" l="1"/>
  <c r="AJ19" i="6"/>
  <c r="AN19" i="6" s="1"/>
  <c r="AI19" i="6"/>
  <c r="AM19" i="6" l="1"/>
  <c r="AK19" i="6"/>
  <c r="AO19" i="6" s="1"/>
  <c r="AP19" i="6" l="1"/>
  <c r="AL19" i="6"/>
  <c r="AS19" i="6"/>
  <c r="U20" i="6"/>
  <c r="AQ19" i="6" l="1"/>
  <c r="AT19" i="6" s="1"/>
  <c r="AR19" i="6"/>
  <c r="AU19" i="6" l="1"/>
  <c r="AV19" i="6"/>
  <c r="AW19" i="6" l="1"/>
  <c r="AZ19" i="6"/>
  <c r="AY19" i="6"/>
  <c r="AX19" i="6"/>
  <c r="BA19" i="6" l="1"/>
  <c r="W20" i="6" s="1"/>
  <c r="X20" i="6" s="1"/>
  <c r="T21" i="6" l="1"/>
  <c r="AJ20" i="6"/>
  <c r="AN20" i="6" s="1"/>
  <c r="AI20" i="6"/>
  <c r="AK20" i="6" s="1"/>
  <c r="AO20" i="6" s="1"/>
  <c r="AM20" i="6" l="1"/>
  <c r="AL20" i="6"/>
  <c r="AP20" i="6"/>
  <c r="AQ20" i="6" l="1"/>
  <c r="AT20" i="6" s="1"/>
  <c r="AS20" i="6"/>
  <c r="AR20" i="6"/>
  <c r="U21" i="6"/>
  <c r="AU20" i="6" l="1"/>
  <c r="AV20" i="6"/>
  <c r="AW20" i="6" l="1"/>
  <c r="AY20" i="6" s="1"/>
  <c r="AX20" i="6"/>
  <c r="AZ20" i="6"/>
  <c r="BA20" i="6" s="1"/>
  <c r="W21" i="6" s="1"/>
  <c r="X21" i="6" s="1"/>
  <c r="T22" i="6" s="1"/>
  <c r="AJ21" i="6" l="1"/>
  <c r="AN21" i="6" s="1"/>
  <c r="AI21" i="6"/>
  <c r="AM21" i="6" s="1"/>
  <c r="AK21" i="6" l="1"/>
  <c r="AO21" i="6" s="1"/>
  <c r="AP21" i="6" s="1"/>
  <c r="AS21" i="6"/>
  <c r="AQ21" i="6"/>
  <c r="AT21" i="6" s="1"/>
  <c r="AR21" i="6"/>
  <c r="AL21" i="6" l="1"/>
  <c r="AU21" i="6"/>
  <c r="AV21" i="6"/>
  <c r="AX21" i="6"/>
  <c r="AW21" i="6"/>
  <c r="AY21" i="6" s="1"/>
  <c r="AZ21" i="6" l="1"/>
  <c r="BA21" i="6" s="1"/>
  <c r="U22" i="6" l="1"/>
  <c r="W22" i="6"/>
  <c r="X22" i="6" l="1"/>
  <c r="T23" i="6" s="1"/>
  <c r="AJ22" i="6" l="1"/>
  <c r="AN22" i="6" s="1"/>
  <c r="AI22" i="6"/>
  <c r="AK22" i="6" s="1"/>
  <c r="AO22" i="6" s="1"/>
  <c r="AM22" i="6" l="1"/>
  <c r="AL22" i="6"/>
  <c r="AP22" i="6"/>
  <c r="AQ22" i="6" l="1"/>
  <c r="AT22" i="6" s="1"/>
  <c r="AS22" i="6"/>
  <c r="AR22" i="6"/>
  <c r="AU22" i="6" l="1"/>
  <c r="AV22" i="6" s="1"/>
  <c r="AW22" i="6" l="1"/>
  <c r="AZ22" i="6" s="1"/>
  <c r="AX22" i="6"/>
  <c r="AY22" i="6" l="1"/>
  <c r="BA22" i="6" s="1"/>
  <c r="U23" i="6"/>
  <c r="W23" i="6" l="1"/>
  <c r="X23" i="6"/>
  <c r="T24" i="6" s="1"/>
  <c r="AI23" i="6" l="1"/>
  <c r="AJ23" i="6"/>
  <c r="AN23" i="6" s="1"/>
  <c r="AK23" i="6"/>
  <c r="AO23" i="6" s="1"/>
  <c r="AP23" i="6" l="1"/>
  <c r="AQ23" i="6" s="1"/>
  <c r="AM23" i="6"/>
  <c r="AL23" i="6"/>
  <c r="AT23" i="6" l="1"/>
  <c r="AS23" i="6"/>
  <c r="AU23" i="6" s="1"/>
  <c r="AR23" i="6"/>
  <c r="AV23" i="6" l="1"/>
  <c r="AX23" i="6" s="1"/>
  <c r="AW23" i="6" l="1"/>
  <c r="AZ23" i="6" s="1"/>
  <c r="AY23" i="6"/>
  <c r="BA23" i="6" s="1"/>
  <c r="U24" i="6" l="1"/>
  <c r="W24" i="6" s="1"/>
  <c r="X24" i="6" l="1"/>
  <c r="T25" i="6" s="1"/>
  <c r="AJ24" i="6" l="1"/>
  <c r="AN24" i="6" s="1"/>
  <c r="AI24" i="6"/>
  <c r="AK24" i="6" s="1"/>
  <c r="AO24" i="6" s="1"/>
  <c r="AL24" i="6" l="1"/>
  <c r="AM24" i="6"/>
  <c r="AP24" i="6"/>
  <c r="AS24" i="6" l="1"/>
  <c r="AQ24" i="6"/>
  <c r="AT24" i="6" s="1"/>
  <c r="AR24" i="6"/>
  <c r="AU24" i="6" l="1"/>
  <c r="AV24" i="6" s="1"/>
  <c r="AX24" i="6" l="1"/>
  <c r="AW24" i="6"/>
  <c r="AZ24" i="6" s="1"/>
  <c r="AY24" i="6" l="1"/>
  <c r="BA24" i="6"/>
  <c r="U25" i="6"/>
  <c r="W25" i="6"/>
  <c r="X25" i="6" l="1"/>
  <c r="T26" i="6" s="1"/>
  <c r="AJ25" i="6" l="1"/>
  <c r="AN25" i="6" s="1"/>
  <c r="AI25" i="6"/>
  <c r="AM25" i="6" l="1"/>
  <c r="AK25" i="6"/>
  <c r="AO25" i="6" s="1"/>
  <c r="AP25" i="6"/>
  <c r="AQ25" i="6" l="1"/>
  <c r="AT25" i="6" s="1"/>
  <c r="AR25" i="6"/>
  <c r="AL25" i="6"/>
  <c r="AS25" i="6"/>
  <c r="AU25" i="6" l="1"/>
  <c r="AV25" i="6" s="1"/>
  <c r="AW25" i="6" l="1"/>
  <c r="AZ25" i="6" s="1"/>
  <c r="AX25" i="6"/>
  <c r="U26" i="6"/>
  <c r="AY25" i="6" l="1"/>
  <c r="BA25" i="6" s="1"/>
  <c r="W26" i="6" s="1"/>
  <c r="X26" i="6" s="1"/>
  <c r="T27" i="6" s="1"/>
  <c r="AJ26" i="6" l="1"/>
  <c r="AN26" i="6" s="1"/>
  <c r="AI26" i="6"/>
  <c r="AM26" i="6" l="1"/>
  <c r="AK26" i="6"/>
  <c r="AO26" i="6" s="1"/>
  <c r="AP26" i="6" s="1"/>
  <c r="AQ26" i="6" l="1"/>
  <c r="AT26" i="6" s="1"/>
  <c r="AS26" i="6"/>
  <c r="AR26" i="6"/>
  <c r="AL26" i="6"/>
  <c r="AU26" i="6" l="1"/>
  <c r="AV26" i="6"/>
  <c r="AW26" i="6" l="1"/>
  <c r="AZ26" i="6" s="1"/>
  <c r="AX26" i="6"/>
  <c r="AY26" i="6"/>
  <c r="BA26" i="6" l="1"/>
  <c r="U27" i="6" l="1"/>
  <c r="W27" i="6"/>
  <c r="X27" i="6" l="1"/>
  <c r="T28" i="6" s="1"/>
  <c r="AI27" i="6" l="1"/>
  <c r="AJ27" i="6"/>
  <c r="AN27" i="6" s="1"/>
  <c r="AK27" i="6" l="1"/>
  <c r="AO27" i="6" s="1"/>
  <c r="AP27" i="6"/>
  <c r="AL27" i="6"/>
  <c r="AM27" i="6"/>
  <c r="AS27" i="6" l="1"/>
  <c r="AQ27" i="6"/>
  <c r="AT27" i="6" s="1"/>
  <c r="AR27" i="6"/>
  <c r="AU27" i="6" l="1"/>
  <c r="AV27" i="6"/>
  <c r="AW27" i="6" l="1"/>
  <c r="AY27" i="6" s="1"/>
  <c r="AX27" i="6"/>
  <c r="AZ27" i="6" l="1"/>
  <c r="BA27" i="6" s="1"/>
  <c r="U28" i="6" l="1"/>
  <c r="W28" i="6" s="1"/>
  <c r="X28" i="6" l="1"/>
  <c r="T29" i="6" s="1"/>
  <c r="AJ28" i="6" l="1"/>
  <c r="AN28" i="6" s="1"/>
  <c r="AI28" i="6"/>
  <c r="AM28" i="6" l="1"/>
  <c r="AK28" i="6"/>
  <c r="AO28" i="6" s="1"/>
  <c r="AP28" i="6" s="1"/>
  <c r="AR28" i="6" l="1"/>
  <c r="AQ28" i="6"/>
  <c r="AT28" i="6" s="1"/>
  <c r="AS28" i="6"/>
  <c r="AL28" i="6"/>
  <c r="AU28" i="6" l="1"/>
  <c r="AV28" i="6"/>
  <c r="AX28" i="6" l="1"/>
  <c r="AW28" i="6"/>
  <c r="AZ28" i="6" s="1"/>
  <c r="AY28" i="6" l="1"/>
  <c r="BA28" i="6" s="1"/>
  <c r="U29" i="6" l="1"/>
  <c r="W29" i="6" s="1"/>
  <c r="X29" i="6" l="1"/>
  <c r="T30" i="6" s="1"/>
  <c r="AJ29" i="6" l="1"/>
  <c r="AN29" i="6" s="1"/>
  <c r="AI29" i="6"/>
  <c r="AK29" i="6" s="1"/>
  <c r="AO29" i="6" s="1"/>
  <c r="AM29" i="6" l="1"/>
  <c r="AL29" i="6"/>
  <c r="AP29" i="6"/>
  <c r="AQ29" i="6" s="1"/>
  <c r="AT29" i="6" l="1"/>
  <c r="AS29" i="6"/>
  <c r="AU29" i="6" s="1"/>
  <c r="AR29" i="6"/>
  <c r="AV29" i="6" l="1"/>
  <c r="AW29" i="6" l="1"/>
  <c r="AY29" i="6" s="1"/>
  <c r="AX29" i="6"/>
  <c r="AZ29" i="6"/>
  <c r="BA29" i="6" l="1"/>
  <c r="U30" i="6" l="1"/>
  <c r="W30" i="6"/>
  <c r="X30" i="6" l="1"/>
  <c r="T31" i="6" s="1"/>
  <c r="AI30" i="6" l="1"/>
  <c r="AJ30" i="6"/>
  <c r="AN30" i="6" s="1"/>
  <c r="AK30" i="6" l="1"/>
  <c r="AO30" i="6" s="1"/>
  <c r="AM30" i="6"/>
  <c r="AL30" i="6"/>
  <c r="AS30" i="6" l="1"/>
  <c r="AP30" i="6"/>
  <c r="AR30" i="6" s="1"/>
  <c r="AQ30" i="6" l="1"/>
  <c r="AT30" i="6" s="1"/>
  <c r="AU30" i="6" l="1"/>
  <c r="AV30" i="6"/>
  <c r="AW30" i="6" l="1"/>
  <c r="AZ30" i="6" s="1"/>
  <c r="AX30" i="6"/>
  <c r="AY30" i="6" l="1"/>
  <c r="BA30" i="6" s="1"/>
  <c r="U31" i="6" l="1"/>
  <c r="W31" i="6" s="1"/>
  <c r="X31" i="6" l="1"/>
  <c r="T32" i="6" s="1"/>
  <c r="AI31" i="6" l="1"/>
  <c r="AJ31" i="6"/>
  <c r="AN31" i="6" s="1"/>
  <c r="AM31" i="6" l="1"/>
  <c r="AK31" i="6"/>
  <c r="AO31" i="6" s="1"/>
  <c r="AS31" i="6" l="1"/>
  <c r="AL31" i="6"/>
  <c r="AP31" i="6"/>
  <c r="AQ31" i="6" l="1"/>
  <c r="AT31" i="6" s="1"/>
  <c r="AR31" i="6"/>
  <c r="AU31" i="6" l="1"/>
  <c r="AV31" i="6"/>
  <c r="AX31" i="6" l="1"/>
  <c r="AW31" i="6"/>
  <c r="AY31" i="6" s="1"/>
  <c r="AZ31" i="6" l="1"/>
  <c r="BA31" i="6" s="1"/>
  <c r="U32" i="6" l="1"/>
  <c r="W32" i="6" s="1"/>
  <c r="X32" i="6" l="1"/>
  <c r="T33" i="6" s="1"/>
  <c r="AJ32" i="6" l="1"/>
  <c r="AN32" i="6" s="1"/>
  <c r="AI32" i="6"/>
  <c r="AK32" i="6"/>
  <c r="AO32" i="6" s="1"/>
  <c r="AL32" i="6" l="1"/>
  <c r="AM32" i="6"/>
  <c r="AP32" i="6"/>
  <c r="AQ32" i="6" l="1"/>
  <c r="AT32" i="6" s="1"/>
  <c r="AS32" i="6"/>
  <c r="AR32" i="6"/>
  <c r="AU32" i="6" l="1"/>
  <c r="AV32" i="6" s="1"/>
  <c r="AX32" i="6" l="1"/>
  <c r="AW32" i="6"/>
  <c r="AY32" i="6" s="1"/>
  <c r="AZ32" i="6" l="1"/>
  <c r="BA32" i="6" s="1"/>
  <c r="U33" i="6" l="1"/>
  <c r="W33" i="6"/>
  <c r="X33" i="6" l="1"/>
  <c r="T34" i="6" s="1"/>
  <c r="AJ33" i="6" l="1"/>
  <c r="AN33" i="6" s="1"/>
  <c r="AI33" i="6"/>
  <c r="AM33" i="6" l="1"/>
  <c r="AK33" i="6"/>
  <c r="AO33" i="6" s="1"/>
  <c r="AP33" i="6"/>
  <c r="AQ33" i="6" l="1"/>
  <c r="AT33" i="6" s="1"/>
  <c r="AR33" i="6"/>
  <c r="AL33" i="6"/>
  <c r="AS33" i="6"/>
  <c r="AU33" i="6" l="1"/>
  <c r="AV33" i="6"/>
  <c r="AX33" i="6" l="1"/>
  <c r="AW33" i="6"/>
  <c r="AZ33" i="6" s="1"/>
  <c r="AY33" i="6" l="1"/>
  <c r="BA33" i="6"/>
  <c r="U34" i="6"/>
  <c r="W34" i="6" l="1"/>
  <c r="X34" i="6"/>
  <c r="T35" i="6" s="1"/>
  <c r="AJ34" i="6" l="1"/>
  <c r="AN34" i="6" s="1"/>
  <c r="AI34" i="6"/>
  <c r="AM34" i="6" l="1"/>
  <c r="AK34" i="6"/>
  <c r="AO34" i="6" s="1"/>
  <c r="AP34" i="6" l="1"/>
  <c r="AS34" i="6"/>
  <c r="AL34" i="6"/>
  <c r="AQ34" i="6" l="1"/>
  <c r="AT34" i="6" s="1"/>
  <c r="AR34" i="6"/>
  <c r="AU34" i="6" l="1"/>
  <c r="AV34" i="6" s="1"/>
  <c r="AW34" i="6" l="1"/>
  <c r="AZ34" i="6" s="1"/>
  <c r="AX34" i="6"/>
  <c r="AY34" i="6"/>
  <c r="BA34" i="6" l="1"/>
  <c r="U35" i="6" l="1"/>
  <c r="W35" i="6" s="1"/>
  <c r="X35" i="6" l="1"/>
  <c r="T36" i="6" s="1"/>
  <c r="AI35" i="6" l="1"/>
  <c r="AJ35" i="6"/>
  <c r="AN35" i="6" s="1"/>
  <c r="AM35" i="6" l="1"/>
  <c r="AK35" i="6"/>
  <c r="AO35" i="6" s="1"/>
  <c r="AS35" i="6" l="1"/>
  <c r="AL35" i="6"/>
  <c r="AP35" i="6"/>
  <c r="AQ35" i="6" l="1"/>
  <c r="AT35" i="6" s="1"/>
  <c r="AR35" i="6"/>
  <c r="AU35" i="6" l="1"/>
  <c r="AV35" i="6" s="1"/>
  <c r="AX35" i="6" l="1"/>
  <c r="AW35" i="6"/>
  <c r="AY35" i="6" s="1"/>
  <c r="AZ35" i="6" l="1"/>
  <c r="BA35" i="6" s="1"/>
  <c r="U36" i="6" l="1"/>
  <c r="W36" i="6" s="1"/>
  <c r="X36" i="6" l="1"/>
  <c r="T37" i="6" s="1"/>
  <c r="AJ36" i="6" l="1"/>
  <c r="AN36" i="6" s="1"/>
  <c r="AI36" i="6"/>
  <c r="AM36" i="6" l="1"/>
  <c r="AK36" i="6"/>
  <c r="AO36" i="6" s="1"/>
  <c r="AP36" i="6" l="1"/>
  <c r="AS36" i="6"/>
  <c r="AL36" i="6"/>
  <c r="AQ36" i="6" l="1"/>
  <c r="AT36" i="6" s="1"/>
  <c r="AR36" i="6"/>
  <c r="AU36" i="6" l="1"/>
  <c r="AV36" i="6"/>
  <c r="AW36" i="6" l="1"/>
  <c r="AX36" i="6"/>
  <c r="AZ36" i="6"/>
  <c r="AY36" i="6"/>
  <c r="BA36" i="6" s="1"/>
  <c r="U37" i="6" l="1"/>
  <c r="W37" i="6"/>
  <c r="X37" i="6" l="1"/>
  <c r="T38" i="6" s="1"/>
  <c r="AJ37" i="6" l="1"/>
  <c r="AN37" i="6" s="1"/>
  <c r="AI37" i="6"/>
  <c r="AK37" i="6"/>
  <c r="AO37" i="6" s="1"/>
  <c r="AM37" i="6" l="1"/>
  <c r="AL37" i="6"/>
  <c r="AP37" i="6"/>
  <c r="AQ37" i="6" s="1"/>
  <c r="AT37" i="6" l="1"/>
  <c r="AS37" i="6"/>
  <c r="AU37" i="6" s="1"/>
  <c r="AR37" i="6"/>
  <c r="AV37" i="6" l="1"/>
  <c r="AW37" i="6" l="1"/>
  <c r="AY37" i="6" s="1"/>
  <c r="AX37" i="6"/>
  <c r="AZ37" i="6" l="1"/>
  <c r="BA37" i="6" s="1"/>
  <c r="U38" i="6" l="1"/>
  <c r="W38" i="6" s="1"/>
  <c r="X38" i="6" l="1"/>
  <c r="T39" i="6" s="1"/>
  <c r="AJ38" i="6" l="1"/>
  <c r="AN38" i="6" s="1"/>
  <c r="AI38" i="6"/>
  <c r="AM38" i="6" l="1"/>
  <c r="AK38" i="6"/>
  <c r="AO38" i="6" s="1"/>
  <c r="AP38" i="6"/>
  <c r="AQ38" i="6" l="1"/>
  <c r="AT38" i="6" s="1"/>
  <c r="AR38" i="6"/>
  <c r="AS38" i="6"/>
  <c r="AL38" i="6"/>
  <c r="AU38" i="6" l="1"/>
  <c r="AV38" i="6"/>
  <c r="AW38" i="6" l="1"/>
  <c r="AZ38" i="6" s="1"/>
  <c r="AX38" i="6"/>
  <c r="AY38" i="6"/>
  <c r="BA38" i="6" l="1"/>
  <c r="U39" i="6" l="1"/>
  <c r="W39" i="6" s="1"/>
  <c r="X39" i="6" l="1"/>
  <c r="T40" i="6" s="1"/>
  <c r="AI39" i="6" l="1"/>
  <c r="AJ39" i="6"/>
  <c r="AN39" i="6" s="1"/>
  <c r="AM39" i="6" l="1"/>
  <c r="AK39" i="6"/>
  <c r="AO39" i="6" s="1"/>
  <c r="AL39" i="6" l="1"/>
  <c r="AS39" i="6"/>
  <c r="AP39" i="6"/>
  <c r="AR39" i="6" s="1"/>
  <c r="AQ39" i="6" l="1"/>
  <c r="AT39" i="6" s="1"/>
  <c r="AU39" i="6" l="1"/>
  <c r="AV39" i="6"/>
  <c r="AX39" i="6" l="1"/>
  <c r="AW39" i="6"/>
  <c r="AY39" i="6" s="1"/>
  <c r="AZ39" i="6" l="1"/>
  <c r="BA39" i="6" s="1"/>
  <c r="U40" i="6" l="1"/>
  <c r="W40" i="6" s="1"/>
  <c r="X40" i="6" l="1"/>
  <c r="T41" i="6" s="1"/>
  <c r="AJ40" i="6" l="1"/>
  <c r="AN40" i="6" s="1"/>
  <c r="AI40" i="6"/>
  <c r="AK40" i="6" s="1"/>
  <c r="AO40" i="6" s="1"/>
  <c r="AL40" i="6" l="1"/>
  <c r="AM40" i="6"/>
  <c r="AP40" i="6"/>
  <c r="AQ40" i="6" l="1"/>
  <c r="AT40" i="6" s="1"/>
  <c r="AS40" i="6"/>
  <c r="AR40" i="6"/>
  <c r="AU40" i="6" l="1"/>
  <c r="AV40" i="6"/>
  <c r="AW40" i="6" l="1"/>
  <c r="AX40" i="6"/>
  <c r="AY40" i="6"/>
  <c r="AZ40" i="6"/>
  <c r="BA40" i="6" l="1"/>
  <c r="U41" i="6"/>
  <c r="W41" i="6" s="1"/>
  <c r="X41" i="6" l="1"/>
  <c r="T42" i="6" s="1"/>
  <c r="AJ41" i="6" l="1"/>
  <c r="AN41" i="6" s="1"/>
  <c r="AI41" i="6"/>
  <c r="AM41" i="6" l="1"/>
  <c r="AK41" i="6"/>
  <c r="AO41" i="6" s="1"/>
  <c r="AP41" i="6"/>
  <c r="AQ41" i="6" l="1"/>
  <c r="AT41" i="6" s="1"/>
  <c r="AR41" i="6"/>
  <c r="AL41" i="6"/>
  <c r="AS41" i="6"/>
  <c r="AU41" i="6" l="1"/>
  <c r="AV41" i="6" s="1"/>
  <c r="AX41" i="6" l="1"/>
  <c r="AW41" i="6"/>
  <c r="AY41" i="6" s="1"/>
  <c r="AZ41" i="6" l="1"/>
  <c r="BA41" i="6" s="1"/>
  <c r="U42" i="6"/>
  <c r="W42" i="6" l="1"/>
  <c r="X42" i="6" s="1"/>
  <c r="T43" i="6" s="1"/>
  <c r="AJ42" i="6" l="1"/>
  <c r="AN42" i="6" s="1"/>
  <c r="AI42" i="6"/>
  <c r="AM42" i="6" l="1"/>
  <c r="AK42" i="6"/>
  <c r="AO42" i="6" s="1"/>
  <c r="AP42" i="6" l="1"/>
  <c r="AL42" i="6"/>
  <c r="AS42" i="6"/>
  <c r="AQ42" i="6" l="1"/>
  <c r="AT42" i="6" s="1"/>
  <c r="AR42" i="6"/>
  <c r="AU42" i="6" l="1"/>
  <c r="AV42" i="6"/>
  <c r="AW42" i="6" l="1"/>
  <c r="AZ42" i="6" s="1"/>
  <c r="AX42" i="6"/>
  <c r="AY42" i="6" l="1"/>
  <c r="BA42" i="6"/>
  <c r="U43" i="6" l="1"/>
  <c r="W43" i="6" s="1"/>
  <c r="X43" i="6" l="1"/>
  <c r="T44" i="6" s="1"/>
  <c r="AI43" i="6" l="1"/>
  <c r="AJ43" i="6"/>
  <c r="AN43" i="6" s="1"/>
  <c r="AM43" i="6" l="1"/>
  <c r="AK43" i="6"/>
  <c r="AO43" i="6" s="1"/>
  <c r="AL43" i="6" l="1"/>
  <c r="AS43" i="6"/>
  <c r="AP43" i="6"/>
  <c r="AQ43" i="6" l="1"/>
  <c r="AT43" i="6" s="1"/>
  <c r="AU43" i="6" s="1"/>
  <c r="AR43" i="6"/>
  <c r="AV43" i="6" l="1"/>
  <c r="AX43" i="6" l="1"/>
  <c r="AW43" i="6"/>
  <c r="AY43" i="6" s="1"/>
  <c r="AZ43" i="6" l="1"/>
  <c r="BA43" i="6" s="1"/>
  <c r="U44" i="6" l="1"/>
  <c r="W44" i="6" s="1"/>
  <c r="X44" i="6" l="1"/>
  <c r="T45" i="6" s="1"/>
  <c r="AJ44" i="6" l="1"/>
  <c r="AN44" i="6" s="1"/>
  <c r="AI44" i="6"/>
  <c r="AM44" i="6" l="1"/>
  <c r="AK44" i="6"/>
  <c r="AO44" i="6" s="1"/>
  <c r="AP44" i="6" s="1"/>
  <c r="AQ44" i="6" l="1"/>
  <c r="AT44" i="6" s="1"/>
  <c r="AR44" i="6"/>
  <c r="AS44" i="6"/>
  <c r="AL44" i="6"/>
  <c r="AU44" i="6" l="1"/>
  <c r="AV44" i="6" s="1"/>
  <c r="AW44" i="6" l="1"/>
  <c r="AX44" i="6"/>
  <c r="AY44" i="6"/>
  <c r="AZ44" i="6"/>
  <c r="BA44" i="6" l="1"/>
  <c r="U45" i="6" l="1"/>
  <c r="W45" i="6" s="1"/>
  <c r="X45" i="6" l="1"/>
  <c r="T46" i="6" s="1"/>
  <c r="AI45" i="6" l="1"/>
  <c r="AJ45" i="6"/>
  <c r="AN45" i="6" s="1"/>
  <c r="AK45" i="6"/>
  <c r="AO45" i="6" s="1"/>
  <c r="AP45" i="6" l="1"/>
  <c r="AQ45" i="6" s="1"/>
  <c r="AM45" i="6"/>
  <c r="AL45" i="6"/>
  <c r="AS45" i="6" l="1"/>
  <c r="AT45" i="6"/>
  <c r="AR45" i="6"/>
  <c r="AU45" i="6" l="1"/>
  <c r="AV45" i="6" s="1"/>
  <c r="AX45" i="6" l="1"/>
  <c r="AW45" i="6"/>
  <c r="AY45" i="6" s="1"/>
  <c r="AZ45" i="6" l="1"/>
  <c r="BA45" i="6" s="1"/>
  <c r="U46" i="6" l="1"/>
  <c r="W46" i="6" s="1"/>
  <c r="X46" i="6" l="1"/>
  <c r="T47" i="6" s="1"/>
  <c r="AJ46" i="6" l="1"/>
  <c r="AN46" i="6" s="1"/>
  <c r="AI46" i="6"/>
  <c r="AM46" i="6" l="1"/>
  <c r="AK46" i="6"/>
  <c r="AO46" i="6" s="1"/>
  <c r="AP46" i="6" s="1"/>
  <c r="AQ46" i="6" l="1"/>
  <c r="AT46" i="6" s="1"/>
  <c r="AR46" i="6"/>
  <c r="AS46" i="6"/>
  <c r="AL46" i="6"/>
  <c r="AU46" i="6" l="1"/>
  <c r="AV46" i="6"/>
  <c r="AW46" i="6" l="1"/>
  <c r="AZ46" i="6" s="1"/>
  <c r="AX46" i="6"/>
  <c r="AY46" i="6"/>
  <c r="BA46" i="6" l="1"/>
  <c r="U47" i="6" l="1"/>
  <c r="W47" i="6"/>
  <c r="X47" i="6" l="1"/>
  <c r="T48" i="6" s="1"/>
  <c r="AI47" i="6" l="1"/>
  <c r="AJ47" i="6"/>
  <c r="AN47" i="6" s="1"/>
  <c r="AM47" i="6" l="1"/>
  <c r="AK47" i="6"/>
  <c r="AO47" i="6" s="1"/>
  <c r="AS47" i="6" l="1"/>
  <c r="AL47" i="6"/>
  <c r="AP47" i="6"/>
  <c r="AQ47" i="6" l="1"/>
  <c r="AT47" i="6" s="1"/>
  <c r="AR47" i="6"/>
  <c r="AU47" i="6" l="1"/>
  <c r="AV47" i="6" s="1"/>
  <c r="AX47" i="6" l="1"/>
  <c r="AW47" i="6"/>
  <c r="AY47" i="6" s="1"/>
  <c r="AZ47" i="6" l="1"/>
  <c r="BA47" i="6" s="1"/>
  <c r="U48" i="6" l="1"/>
  <c r="W48" i="6" s="1"/>
  <c r="X48" i="6" l="1"/>
  <c r="T49" i="6" s="1"/>
  <c r="AJ48" i="6" l="1"/>
  <c r="AN48" i="6" s="1"/>
  <c r="AI48" i="6"/>
  <c r="AK48" i="6"/>
  <c r="AO48" i="6" s="1"/>
  <c r="AL48" i="6" l="1"/>
  <c r="AM48" i="6"/>
  <c r="AP48" i="6"/>
  <c r="AS48" i="6" l="1"/>
  <c r="AQ48" i="6"/>
  <c r="AT48" i="6" s="1"/>
  <c r="AR48" i="6"/>
  <c r="AU48" i="6" l="1"/>
  <c r="AV48" i="6" s="1"/>
  <c r="AW48" i="6" l="1"/>
  <c r="AX48" i="6"/>
  <c r="AY48" i="6"/>
  <c r="AZ48" i="6"/>
  <c r="BA48" i="6" l="1"/>
  <c r="U49" i="6" l="1"/>
  <c r="W49" i="6" s="1"/>
  <c r="X49" i="6" l="1"/>
  <c r="T50" i="6" s="1"/>
  <c r="AJ49" i="6" l="1"/>
  <c r="AN49" i="6" s="1"/>
  <c r="AI49" i="6"/>
  <c r="AM49" i="6" l="1"/>
  <c r="AK49" i="6"/>
  <c r="AO49" i="6" s="1"/>
  <c r="AP49" i="6" l="1"/>
  <c r="AL49" i="6"/>
  <c r="AS49" i="6"/>
  <c r="AQ49" i="6" l="1"/>
  <c r="AT49" i="6" s="1"/>
  <c r="AR49" i="6"/>
  <c r="AU49" i="6" l="1"/>
  <c r="AV49" i="6" s="1"/>
  <c r="AX49" i="6" l="1"/>
  <c r="AW49" i="6"/>
  <c r="AZ49" i="6" s="1"/>
  <c r="AY49" i="6" l="1"/>
  <c r="BA49" i="6"/>
  <c r="U50" i="6"/>
  <c r="W50" i="6" l="1"/>
  <c r="X50" i="6" s="1"/>
  <c r="T51" i="6" s="1"/>
  <c r="AJ50" i="6" l="1"/>
  <c r="AN50" i="6" s="1"/>
  <c r="AI50" i="6"/>
  <c r="AM50" i="6" l="1"/>
  <c r="AK50" i="6"/>
  <c r="AO50" i="6" s="1"/>
  <c r="AP50" i="6" s="1"/>
  <c r="AQ50" i="6" l="1"/>
  <c r="AT50" i="6" s="1"/>
  <c r="AS50" i="6"/>
  <c r="AR50" i="6"/>
  <c r="AL50" i="6"/>
  <c r="AU50" i="6" l="1"/>
  <c r="AV50" i="6" s="1"/>
  <c r="AW50" i="6" l="1"/>
  <c r="AZ50" i="6" s="1"/>
  <c r="AX50" i="6"/>
  <c r="AY50" i="6" l="1"/>
  <c r="BA50" i="6" s="1"/>
  <c r="U51" i="6" l="1"/>
  <c r="W51" i="6" s="1"/>
  <c r="X51" i="6" l="1"/>
  <c r="T52" i="6" s="1"/>
  <c r="AJ51" i="6" l="1"/>
  <c r="AN51" i="6" s="1"/>
  <c r="AI51" i="6"/>
  <c r="AM51" i="6" l="1"/>
  <c r="AK51" i="6"/>
  <c r="AO51" i="6" s="1"/>
  <c r="AP51" i="6"/>
  <c r="AQ51" i="6" l="1"/>
  <c r="AT51" i="6" s="1"/>
  <c r="AR51" i="6"/>
  <c r="AL51" i="6"/>
  <c r="AS51" i="6"/>
  <c r="AU51" i="6" l="1"/>
  <c r="AV51" i="6"/>
  <c r="AX51" i="6" l="1"/>
  <c r="AW51" i="6"/>
  <c r="AY51" i="6" s="1"/>
  <c r="AZ51" i="6" l="1"/>
  <c r="BA51" i="6" s="1"/>
  <c r="U52" i="6" l="1"/>
  <c r="W52" i="6"/>
  <c r="X52" i="6" l="1"/>
  <c r="T53" i="6" s="1"/>
  <c r="AJ52" i="6" l="1"/>
  <c r="AN52" i="6" s="1"/>
  <c r="AI52" i="6"/>
  <c r="AK52" i="6" s="1"/>
  <c r="AO52" i="6" s="1"/>
  <c r="AL52" i="6" l="1"/>
  <c r="AM52" i="6"/>
  <c r="AP52" i="6"/>
  <c r="AQ52" i="6" l="1"/>
  <c r="AT52" i="6" s="1"/>
  <c r="AS52" i="6"/>
  <c r="AR52" i="6"/>
  <c r="AU52" i="6" l="1"/>
  <c r="AV52" i="6"/>
  <c r="AW52" i="6" l="1"/>
  <c r="AX52" i="6"/>
  <c r="AZ52" i="6"/>
  <c r="AY52" i="6"/>
  <c r="BA52" i="6" l="1"/>
  <c r="U53" i="6"/>
  <c r="W53" i="6" l="1"/>
  <c r="X53" i="6"/>
  <c r="T54" i="6" s="1"/>
  <c r="AJ53" i="6" l="1"/>
  <c r="AN53" i="6" s="1"/>
  <c r="AI53" i="6"/>
  <c r="AM53" i="6" l="1"/>
  <c r="AK53" i="6"/>
  <c r="AO53" i="6" s="1"/>
  <c r="AP53" i="6" s="1"/>
  <c r="AQ53" i="6" s="1"/>
  <c r="AT53" i="6" l="1"/>
  <c r="AR53" i="6"/>
  <c r="AL53" i="6"/>
  <c r="AS53" i="6"/>
  <c r="AU53" i="6" s="1"/>
  <c r="AV53" i="6" s="1"/>
  <c r="AX53" i="6" l="1"/>
  <c r="AW53" i="6"/>
  <c r="AY53" i="6" s="1"/>
  <c r="AZ53" i="6" l="1"/>
  <c r="BA53" i="6" s="1"/>
  <c r="U54" i="6"/>
  <c r="W54" i="6" l="1"/>
  <c r="X54" i="6" s="1"/>
  <c r="AJ54" i="6" l="1"/>
  <c r="AN54" i="6" s="1"/>
  <c r="AI54" i="6"/>
  <c r="AM54" i="6" l="1"/>
  <c r="AK54" i="6"/>
  <c r="AO54" i="6" s="1"/>
  <c r="AP54" i="6" l="1"/>
  <c r="AS54" i="6"/>
  <c r="AL54" i="6"/>
  <c r="AQ54" i="6" l="1"/>
  <c r="AT54" i="6" s="1"/>
  <c r="AR54" i="6"/>
  <c r="AU54" i="6" l="1"/>
  <c r="AV54" i="6" s="1"/>
  <c r="AW54" i="6" l="1"/>
  <c r="AZ54" i="6" s="1"/>
  <c r="AX54" i="6"/>
  <c r="AY54" i="6" l="1"/>
  <c r="BA5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<sst xmlns="http://schemas.openxmlformats.org/spreadsheetml/2006/main" count="325" uniqueCount="79">
  <si>
    <t>Parameters</t>
  </si>
  <si>
    <t>Earnings</t>
  </si>
  <si>
    <t>Expenses</t>
  </si>
  <si>
    <t>Beta of Earnings</t>
  </si>
  <si>
    <t>Risk Free Rate</t>
  </si>
  <si>
    <t>Risky Assets</t>
  </si>
  <si>
    <t>Stocks</t>
  </si>
  <si>
    <t>Bonds</t>
  </si>
  <si>
    <t>Excess Return</t>
  </si>
  <si>
    <t>Standard Deviation</t>
  </si>
  <si>
    <t>Correlation</t>
  </si>
  <si>
    <t>Calculated</t>
  </si>
  <si>
    <t>Earnings WACC</t>
  </si>
  <si>
    <t>Rf WACC</t>
  </si>
  <si>
    <t>Sharpe Ratios</t>
  </si>
  <si>
    <t>Stock</t>
  </si>
  <si>
    <t>Risk Aversion</t>
  </si>
  <si>
    <t>Norm Const</t>
  </si>
  <si>
    <t>Optimal Weights</t>
  </si>
  <si>
    <t>Bond</t>
  </si>
  <si>
    <t>Current Age</t>
  </si>
  <si>
    <t>Retirement Age</t>
  </si>
  <si>
    <t>Expenses in Retirement</t>
  </si>
  <si>
    <t>Pension / Soc Sec</t>
  </si>
  <si>
    <t>(Obtain from yield of long term TIPS)</t>
  </si>
  <si>
    <t>Age</t>
  </si>
  <si>
    <t>Trajectories</t>
  </si>
  <si>
    <t>(All Dollar Numbers are Inflation Adjusted, Post Tax)</t>
  </si>
  <si>
    <t>PV of Future Earnings</t>
  </si>
  <si>
    <t>Wages</t>
  </si>
  <si>
    <t>Pension</t>
  </si>
  <si>
    <t>Earnings DF</t>
  </si>
  <si>
    <t>Expense DF</t>
  </si>
  <si>
    <t>PV of Future Pension</t>
  </si>
  <si>
    <t>Financial Wealth</t>
  </si>
  <si>
    <t>Net Savings</t>
  </si>
  <si>
    <t>Total Wealth</t>
  </si>
  <si>
    <t>Target Stock</t>
  </si>
  <si>
    <t>Target Bond</t>
  </si>
  <si>
    <t>Target Cash</t>
  </si>
  <si>
    <t>Duration of Bond</t>
  </si>
  <si>
    <t>Duration of Future Earnings</t>
  </si>
  <si>
    <t>Duration of Pension</t>
  </si>
  <si>
    <t>Portfolio Ret</t>
  </si>
  <si>
    <t>Portfolio Std</t>
  </si>
  <si>
    <t>Portfolio Log Ret</t>
  </si>
  <si>
    <t>Duration of Expenses</t>
  </si>
  <si>
    <t>Stocks in Human Capital</t>
  </si>
  <si>
    <t>Cash + Bond in Human Capital</t>
  </si>
  <si>
    <t>Bonds in Human Capital</t>
  </si>
  <si>
    <t>Cash in Human Capital</t>
  </si>
  <si>
    <t>Bonds in Pension</t>
  </si>
  <si>
    <t>Cash in Pension</t>
  </si>
  <si>
    <t>Bonds in Expenses</t>
  </si>
  <si>
    <t>PV of Future Expenses</t>
  </si>
  <si>
    <t>Cash in Expenses</t>
  </si>
  <si>
    <t>Target Financial Stocks</t>
  </si>
  <si>
    <t>Target Financial Bonds</t>
  </si>
  <si>
    <t>Target Financial Cash</t>
  </si>
  <si>
    <t>Implicit Bonds</t>
  </si>
  <si>
    <t>Implicit Cash</t>
  </si>
  <si>
    <t>Stocks -- No Shorting</t>
  </si>
  <si>
    <t>Bonds -- No Shorting</t>
  </si>
  <si>
    <t>Cash -- No Shorting</t>
  </si>
  <si>
    <t>Stock Weight -- No Short</t>
  </si>
  <si>
    <t>Bond Weight -- No Short</t>
  </si>
  <si>
    <t>Cash Weight -- No Short</t>
  </si>
  <si>
    <t>Port Ret</t>
  </si>
  <si>
    <t>Port Var</t>
  </si>
  <si>
    <t>Med Ret</t>
  </si>
  <si>
    <t>Total Wealth Stock Share</t>
  </si>
  <si>
    <t>Implicit Wealth</t>
  </si>
  <si>
    <t>Target FI</t>
  </si>
  <si>
    <t>Initial Wealth</t>
  </si>
  <si>
    <t>Bond Capped FI Share</t>
  </si>
  <si>
    <t>Cash Capped FI Share</t>
  </si>
  <si>
    <t>Discretionary Spending</t>
  </si>
  <si>
    <t>Multiple of Return</t>
  </si>
  <si>
    <t>Portfolio 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</si>
</sst>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164" fontId="0" fillId="0" borderId="0" xfId="0" applyNumberFormat="1"/>
    <xf numFmtId="9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/>
    <xf numFmtId="165" fontId="0" fillId="2" borderId="0" xfId="0" applyNumberFormat="1" applyFill="1"/>
    <xf numFmtId="165" fontId="0" fillId="2" borderId="0" xfId="1" applyNumberFormat="1" applyFont="1" applyFill="1"/>
    <xf numFmtId="11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Profile of Earnings, Pensions, and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Baseline'!$I$3</c:f>
              <c:strCache>
                <c:ptCount val="1"/>
                <c:pt idx="0">
                  <c:v>Wages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Baseline'!$I$4:$I$54</c:f>
              <c:numCache>
                <c:formatCode>General</c:formatCode>
                <c:ptCount val="51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90-494A-A10A-B2CCC04FCFA9}"/>
            </c:ext>
          </c:extLst>
        </c:ser>
        <c:ser>
          <c:idx val="1"/>
          <c:order val="1"/>
          <c:tx>
            <c:strRef>
              <c:f>'Consultant Baseline'!$J$3</c:f>
              <c:strCache>
                <c:ptCount val="1"/>
                <c:pt idx="0">
                  <c:v>Pension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Baseline'!$J$4:$J$54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1E-4</c:v>
                </c:pt>
                <c:pt idx="37">
                  <c:v>1E-4</c:v>
                </c:pt>
                <c:pt idx="38">
                  <c:v>1E-4</c:v>
                </c:pt>
                <c:pt idx="39">
                  <c:v>1E-4</c:v>
                </c:pt>
                <c:pt idx="40">
                  <c:v>1E-4</c:v>
                </c:pt>
                <c:pt idx="41">
                  <c:v>1E-4</c:v>
                </c:pt>
                <c:pt idx="42">
                  <c:v>1E-4</c:v>
                </c:pt>
                <c:pt idx="43">
                  <c:v>1E-4</c:v>
                </c:pt>
                <c:pt idx="44">
                  <c:v>1E-4</c:v>
                </c:pt>
                <c:pt idx="45">
                  <c:v>1E-4</c:v>
                </c:pt>
                <c:pt idx="46">
                  <c:v>1E-4</c:v>
                </c:pt>
                <c:pt idx="47">
                  <c:v>1E-4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90-494A-A10A-B2CCC04FCFA9}"/>
            </c:ext>
          </c:extLst>
        </c:ser>
        <c:ser>
          <c:idx val="2"/>
          <c:order val="2"/>
          <c:tx>
            <c:strRef>
              <c:f>'Consultant Baseline'!$K$3</c:f>
              <c:strCache>
                <c:ptCount val="1"/>
                <c:pt idx="0">
                  <c:v>Expenses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Baseline'!$K$4:$K$54</c:f>
              <c:numCache>
                <c:formatCode>General</c:formatCode>
                <c:ptCount val="51"/>
                <c:pt idx="0">
                  <c:v>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-100</c:v>
                </c:pt>
                <c:pt idx="27">
                  <c:v>-100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90-494A-A10A-B2CCC04FC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Looking Present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Baseline'!$N$3</c:f>
              <c:strCache>
                <c:ptCount val="1"/>
                <c:pt idx="0">
                  <c:v>PV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Baseline'!$N$4:$N$54</c:f>
              <c:numCache>
                <c:formatCode>0</c:formatCode>
                <c:ptCount val="51"/>
                <c:pt idx="0">
                  <c:v>6249.6548330087844</c:v>
                </c:pt>
                <c:pt idx="1">
                  <c:v>6124.6479296689604</c:v>
                </c:pt>
                <c:pt idx="2">
                  <c:v>5997.1408882623391</c:v>
                </c:pt>
                <c:pt idx="3">
                  <c:v>5867.0837060275853</c:v>
                </c:pt>
                <c:pt idx="4">
                  <c:v>5734.4253801481382</c:v>
                </c:pt>
                <c:pt idx="5">
                  <c:v>5599.1138877511012</c:v>
                </c:pt>
                <c:pt idx="6">
                  <c:v>5461.0961655061237</c:v>
                </c:pt>
                <c:pt idx="7">
                  <c:v>5320.3180888162451</c:v>
                </c:pt>
                <c:pt idx="8">
                  <c:v>5176.7244505925692</c:v>
                </c:pt>
                <c:pt idx="9">
                  <c:v>5030.2589396044223</c:v>
                </c:pt>
                <c:pt idx="10">
                  <c:v>4880.864118396511</c:v>
                </c:pt>
                <c:pt idx="11">
                  <c:v>4728.4814007644409</c:v>
                </c:pt>
                <c:pt idx="12">
                  <c:v>4573.0510287797297</c:v>
                </c:pt>
                <c:pt idx="13">
                  <c:v>4414.512049355325</c:v>
                </c:pt>
                <c:pt idx="14">
                  <c:v>4252.8022903424317</c:v>
                </c:pt>
                <c:pt idx="15">
                  <c:v>4087.8583361492797</c:v>
                </c:pt>
                <c:pt idx="16">
                  <c:v>3919.6155028722656</c:v>
                </c:pt>
                <c:pt idx="17">
                  <c:v>3748.0078129297099</c:v>
                </c:pt>
                <c:pt idx="18">
                  <c:v>3572.9679691883043</c:v>
                </c:pt>
                <c:pt idx="19">
                  <c:v>3394.4273285720701</c:v>
                </c:pt>
                <c:pt idx="20">
                  <c:v>3212.3158751435112</c:v>
                </c:pt>
                <c:pt idx="21">
                  <c:v>3026.5621926463809</c:v>
                </c:pt>
                <c:pt idx="22">
                  <c:v>2837.0934364993095</c:v>
                </c:pt>
                <c:pt idx="23">
                  <c:v>2643.8353052292955</c:v>
                </c:pt>
                <c:pt idx="24">
                  <c:v>2446.7120113338815</c:v>
                </c:pt>
                <c:pt idx="25">
                  <c:v>2245.6462515605581</c:v>
                </c:pt>
                <c:pt idx="26">
                  <c:v>2040.55917659177</c:v>
                </c:pt>
                <c:pt idx="27">
                  <c:v>1831.3703601236052</c:v>
                </c:pt>
                <c:pt idx="28">
                  <c:v>1617.997767326078</c:v>
                </c:pt>
                <c:pt idx="29">
                  <c:v>1400.3577226725993</c:v>
                </c:pt>
                <c:pt idx="30">
                  <c:v>1178.3648771260514</c:v>
                </c:pt>
                <c:pt idx="31">
                  <c:v>951.93217466857209</c:v>
                </c:pt>
                <c:pt idx="32">
                  <c:v>720.97081816194384</c:v>
                </c:pt>
                <c:pt idx="33">
                  <c:v>485.39023452518268</c:v>
                </c:pt>
                <c:pt idx="34">
                  <c:v>245.0980392156863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8-E749-92B8-F73203D102ED}"/>
            </c:ext>
          </c:extLst>
        </c:ser>
        <c:ser>
          <c:idx val="1"/>
          <c:order val="1"/>
          <c:tx>
            <c:strRef>
              <c:f>'Consultant Baseline'!$O$3</c:f>
              <c:strCache>
                <c:ptCount val="1"/>
                <c:pt idx="0">
                  <c:v>PV of Future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Baseline'!$O$4:$O$54</c:f>
              <c:numCache>
                <c:formatCode>0</c:formatCode>
                <c:ptCount val="51"/>
                <c:pt idx="0">
                  <c:v>6.4249865616167721E-4</c:v>
                </c:pt>
                <c:pt idx="1">
                  <c:v>6.5534862928491079E-4</c:v>
                </c:pt>
                <c:pt idx="2">
                  <c:v>6.6845560187060889E-4</c:v>
                </c:pt>
                <c:pt idx="3">
                  <c:v>6.8182471390802106E-4</c:v>
                </c:pt>
                <c:pt idx="4">
                  <c:v>6.9546120818618159E-4</c:v>
                </c:pt>
                <c:pt idx="5">
                  <c:v>7.0937043234990519E-4</c:v>
                </c:pt>
                <c:pt idx="6">
                  <c:v>7.2355784099690341E-4</c:v>
                </c:pt>
                <c:pt idx="7">
                  <c:v>7.3802899781684125E-4</c:v>
                </c:pt>
                <c:pt idx="8">
                  <c:v>7.5278957777317817E-4</c:v>
                </c:pt>
                <c:pt idx="9">
                  <c:v>7.6784536932864164E-4</c:v>
                </c:pt>
                <c:pt idx="10">
                  <c:v>7.8320227671521453E-4</c:v>
                </c:pt>
                <c:pt idx="11">
                  <c:v>7.988663222495187E-4</c:v>
                </c:pt>
                <c:pt idx="12">
                  <c:v>8.1484364869450923E-4</c:v>
                </c:pt>
                <c:pt idx="13">
                  <c:v>8.311405216683993E-4</c:v>
                </c:pt>
                <c:pt idx="14">
                  <c:v>8.4776333210176739E-4</c:v>
                </c:pt>
                <c:pt idx="15">
                  <c:v>8.6471859874380258E-4</c:v>
                </c:pt>
                <c:pt idx="16">
                  <c:v>8.8201297071867878E-4</c:v>
                </c:pt>
                <c:pt idx="17">
                  <c:v>8.9965323013305241E-4</c:v>
                </c:pt>
                <c:pt idx="18">
                  <c:v>9.1764629473571342E-4</c:v>
                </c:pt>
                <c:pt idx="19">
                  <c:v>9.3599922063042763E-4</c:v>
                </c:pt>
                <c:pt idx="20">
                  <c:v>9.5471920504303618E-4</c:v>
                </c:pt>
                <c:pt idx="21">
                  <c:v>9.7381358914389688E-4</c:v>
                </c:pt>
                <c:pt idx="22">
                  <c:v>9.9328986092677503E-4</c:v>
                </c:pt>
                <c:pt idx="23">
                  <c:v>1.0131556581453101E-3</c:v>
                </c:pt>
                <c:pt idx="24">
                  <c:v>1.0334187713082164E-3</c:v>
                </c:pt>
                <c:pt idx="25">
                  <c:v>1.0540871467343807E-3</c:v>
                </c:pt>
                <c:pt idx="26">
                  <c:v>1.0751688896690685E-3</c:v>
                </c:pt>
                <c:pt idx="27">
                  <c:v>1.0966722674624497E-3</c:v>
                </c:pt>
                <c:pt idx="28">
                  <c:v>1.1186057128116989E-3</c:v>
                </c:pt>
                <c:pt idx="29">
                  <c:v>1.1409778270679326E-3</c:v>
                </c:pt>
                <c:pt idx="30">
                  <c:v>1.1637973836092915E-3</c:v>
                </c:pt>
                <c:pt idx="31">
                  <c:v>1.1870733312814769E-3</c:v>
                </c:pt>
                <c:pt idx="32">
                  <c:v>1.2108147979071069E-3</c:v>
                </c:pt>
                <c:pt idx="33">
                  <c:v>1.2350310938652491E-3</c:v>
                </c:pt>
                <c:pt idx="34">
                  <c:v>1.259731715742554E-3</c:v>
                </c:pt>
                <c:pt idx="35">
                  <c:v>1.284926350057405E-3</c:v>
                </c:pt>
                <c:pt idx="36">
                  <c:v>1.2106248770585527E-3</c:v>
                </c:pt>
                <c:pt idx="37">
                  <c:v>1.1348373745997242E-3</c:v>
                </c:pt>
                <c:pt idx="38">
                  <c:v>1.0575341220917186E-3</c:v>
                </c:pt>
                <c:pt idx="39">
                  <c:v>9.7868480453355247E-4</c:v>
                </c:pt>
                <c:pt idx="40">
                  <c:v>8.982585006242238E-4</c:v>
                </c:pt>
                <c:pt idx="41">
                  <c:v>8.162236706367082E-4</c:v>
                </c:pt>
                <c:pt idx="42">
                  <c:v>7.3254814404944237E-4</c:v>
                </c:pt>
                <c:pt idx="43">
                  <c:v>6.4719910693043108E-4</c:v>
                </c:pt>
                <c:pt idx="44">
                  <c:v>5.6014308906903983E-4</c:v>
                </c:pt>
                <c:pt idx="45">
                  <c:v>4.7134595085042056E-4</c:v>
                </c:pt>
                <c:pt idx="46">
                  <c:v>3.8077286986742899E-4</c:v>
                </c:pt>
                <c:pt idx="47">
                  <c:v>2.8838832726477744E-4</c:v>
                </c:pt>
                <c:pt idx="48">
                  <c:v>1.9415609381007303E-4</c:v>
                </c:pt>
                <c:pt idx="49">
                  <c:v>9.8039215686274519E-5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68-E749-92B8-F73203D102ED}"/>
            </c:ext>
          </c:extLst>
        </c:ser>
        <c:ser>
          <c:idx val="2"/>
          <c:order val="2"/>
          <c:tx>
            <c:strRef>
              <c:f>'Consultant Baseline'!$P$3</c:f>
              <c:strCache>
                <c:ptCount val="1"/>
                <c:pt idx="0">
                  <c:v>PV of Future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Baseline'!$P$4:$P$54</c:f>
              <c:numCache>
                <c:formatCode>0</c:formatCode>
                <c:ptCount val="51"/>
                <c:pt idx="0">
                  <c:v>-3142.3605893651907</c:v>
                </c:pt>
                <c:pt idx="1">
                  <c:v>-3105.2078011524945</c:v>
                </c:pt>
                <c:pt idx="2">
                  <c:v>-3067.3119571755451</c:v>
                </c:pt>
                <c:pt idx="3">
                  <c:v>-3028.6581963190552</c:v>
                </c:pt>
                <c:pt idx="4">
                  <c:v>-2989.2313602454374</c:v>
                </c:pt>
                <c:pt idx="5">
                  <c:v>-2949.0159874503452</c:v>
                </c:pt>
                <c:pt idx="6">
                  <c:v>-2907.9963071993529</c:v>
                </c:pt>
                <c:pt idx="7">
                  <c:v>-2866.1562333433394</c:v>
                </c:pt>
                <c:pt idx="8">
                  <c:v>-2823.4793580102055</c:v>
                </c:pt>
                <c:pt idx="9">
                  <c:v>-2779.9489451704103</c:v>
                </c:pt>
                <c:pt idx="10">
                  <c:v>-2735.5479240738182</c:v>
                </c:pt>
                <c:pt idx="11">
                  <c:v>-2690.2588825552948</c:v>
                </c:pt>
                <c:pt idx="12">
                  <c:v>-2644.0640602064009</c:v>
                </c:pt>
                <c:pt idx="13">
                  <c:v>-2596.9453414105287</c:v>
                </c:pt>
                <c:pt idx="14">
                  <c:v>-2548.884248238739</c:v>
                </c:pt>
                <c:pt idx="15">
                  <c:v>-2499.8619332035137</c:v>
                </c:pt>
                <c:pt idx="16">
                  <c:v>-2449.8591718675843</c:v>
                </c:pt>
                <c:pt idx="17">
                  <c:v>-2398.8563553049362</c:v>
                </c:pt>
                <c:pt idx="18">
                  <c:v>-2346.8334824110348</c:v>
                </c:pt>
                <c:pt idx="19">
                  <c:v>-2293.770152059255</c:v>
                </c:pt>
                <c:pt idx="20">
                  <c:v>-2239.6455551004401</c:v>
                </c:pt>
                <c:pt idx="21">
                  <c:v>-2184.4384662024495</c:v>
                </c:pt>
                <c:pt idx="22">
                  <c:v>-2128.1272355264987</c:v>
                </c:pt>
                <c:pt idx="23">
                  <c:v>-2070.6897802370281</c:v>
                </c:pt>
                <c:pt idx="24">
                  <c:v>-2012.1035758417688</c:v>
                </c:pt>
                <c:pt idx="25">
                  <c:v>-1952.3456473586036</c:v>
                </c:pt>
                <c:pt idx="26">
                  <c:v>-1891.3925603057762</c:v>
                </c:pt>
                <c:pt idx="27">
                  <c:v>-1829.2204115118916</c:v>
                </c:pt>
                <c:pt idx="28">
                  <c:v>-1765.8048197421299</c:v>
                </c:pt>
                <c:pt idx="29">
                  <c:v>-1701.1209161369723</c:v>
                </c:pt>
                <c:pt idx="30">
                  <c:v>-1635.1433344597119</c:v>
                </c:pt>
                <c:pt idx="31">
                  <c:v>-1567.8462011489057</c:v>
                </c:pt>
                <c:pt idx="32">
                  <c:v>-1499.2031251718843</c:v>
                </c:pt>
                <c:pt idx="33">
                  <c:v>-1429.1871876753221</c:v>
                </c:pt>
                <c:pt idx="34">
                  <c:v>-1357.7709314288284</c:v>
                </c:pt>
                <c:pt idx="35">
                  <c:v>-1284.9263500574048</c:v>
                </c:pt>
                <c:pt idx="36">
                  <c:v>-1210.6248770585528</c:v>
                </c:pt>
                <c:pt idx="37">
                  <c:v>-1134.8373745997239</c:v>
                </c:pt>
                <c:pt idx="38">
                  <c:v>-1057.5341220917187</c:v>
                </c:pt>
                <c:pt idx="39">
                  <c:v>-978.68480453355244</c:v>
                </c:pt>
                <c:pt idx="40">
                  <c:v>-898.25850062422364</c:v>
                </c:pt>
                <c:pt idx="41">
                  <c:v>-816.22367063670799</c:v>
                </c:pt>
                <c:pt idx="42">
                  <c:v>-732.54814404944227</c:v>
                </c:pt>
                <c:pt idx="43">
                  <c:v>-647.19910693043107</c:v>
                </c:pt>
                <c:pt idx="44">
                  <c:v>-560.14308906903977</c:v>
                </c:pt>
                <c:pt idx="45">
                  <c:v>-471.34595085042048</c:v>
                </c:pt>
                <c:pt idx="46">
                  <c:v>-380.77286986742899</c:v>
                </c:pt>
                <c:pt idx="47">
                  <c:v>-288.38832726477744</c:v>
                </c:pt>
                <c:pt idx="48">
                  <c:v>-194.15609381007303</c:v>
                </c:pt>
                <c:pt idx="49">
                  <c:v>-98.039215686274517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68-E749-92B8-F73203D10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Durations of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Baseline'!$Q$3</c:f>
              <c:strCache>
                <c:ptCount val="1"/>
                <c:pt idx="0">
                  <c:v>Duration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Baseline'!$Q$4:$Q$54</c:f>
              <c:numCache>
                <c:formatCode>0</c:formatCode>
                <c:ptCount val="51"/>
                <c:pt idx="0">
                  <c:v>15.682484231556147</c:v>
                </c:pt>
                <c:pt idx="1">
                  <c:v>15.302211960910602</c:v>
                </c:pt>
                <c:pt idx="2">
                  <c:v>14.918846790360565</c:v>
                </c:pt>
                <c:pt idx="3">
                  <c:v>14.532380650744599</c:v>
                </c:pt>
                <c:pt idx="4">
                  <c:v>14.142805689829556</c:v>
                </c:pt>
                <c:pt idx="5">
                  <c:v>13.750114274407412</c:v>
                </c:pt>
                <c:pt idx="6">
                  <c:v>13.354298992339599</c:v>
                </c:pt>
                <c:pt idx="7">
                  <c:v>12.955352654547712</c:v>
                </c:pt>
                <c:pt idx="8">
                  <c:v>12.553268296949527</c:v>
                </c:pt>
                <c:pt idx="9">
                  <c:v>12.14803918233947</c:v>
                </c:pt>
                <c:pt idx="10">
                  <c:v>11.739658802212357</c:v>
                </c:pt>
                <c:pt idx="11">
                  <c:v>11.328120878529539</c:v>
                </c:pt>
                <c:pt idx="12">
                  <c:v>10.913419365426568</c:v>
                </c:pt>
                <c:pt idx="13">
                  <c:v>10.49554845086139</c:v>
                </c:pt>
                <c:pt idx="14">
                  <c:v>10.074502558202276</c:v>
                </c:pt>
                <c:pt idx="15">
                  <c:v>9.6502763477545219</c:v>
                </c:pt>
                <c:pt idx="16">
                  <c:v>9.2228647182252992</c:v>
                </c:pt>
                <c:pt idx="17">
                  <c:v>8.7922628081256544</c:v>
                </c:pt>
                <c:pt idx="18">
                  <c:v>8.3584659971090645</c:v>
                </c:pt>
                <c:pt idx="19">
                  <c:v>7.9214699072457897</c:v>
                </c:pt>
                <c:pt idx="20">
                  <c:v>7.4812704042322649</c:v>
                </c:pt>
                <c:pt idx="21">
                  <c:v>7.0378635985350027</c:v>
                </c:pt>
                <c:pt idx="22">
                  <c:v>6.5912458464682588</c:v>
                </c:pt>
                <c:pt idx="23">
                  <c:v>6.1414137512050084</c:v>
                </c:pt>
                <c:pt idx="24">
                  <c:v>5.6883641637205686</c:v>
                </c:pt>
                <c:pt idx="25">
                  <c:v>5.2320941836684103</c:v>
                </c:pt>
                <c:pt idx="26">
                  <c:v>4.7726011601877012</c:v>
                </c:pt>
                <c:pt idx="27">
                  <c:v>4.3098826926420921</c:v>
                </c:pt>
                <c:pt idx="28">
                  <c:v>3.8439366312893708</c:v>
                </c:pt>
                <c:pt idx="29">
                  <c:v>3.3747610778816193</c:v>
                </c:pt>
                <c:pt idx="30">
                  <c:v>2.9023543861955372</c:v>
                </c:pt>
                <c:pt idx="31">
                  <c:v>2.4267151624926435</c:v>
                </c:pt>
                <c:pt idx="32">
                  <c:v>1.9478422659091084</c:v>
                </c:pt>
                <c:pt idx="33">
                  <c:v>1.4657348087749953</c:v>
                </c:pt>
                <c:pt idx="34">
                  <c:v>0.98039215686274506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3-0047-B19D-9FACB312D836}"/>
            </c:ext>
          </c:extLst>
        </c:ser>
        <c:ser>
          <c:idx val="1"/>
          <c:order val="1"/>
          <c:tx>
            <c:strRef>
              <c:f>'Consultant Baseline'!$R$3</c:f>
              <c:strCache>
                <c:ptCount val="1"/>
                <c:pt idx="0">
                  <c:v>Duration of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Baseline'!$R$4:$R$54</c:f>
              <c:numCache>
                <c:formatCode>0</c:formatCode>
                <c:ptCount val="51"/>
                <c:pt idx="0">
                  <c:v>41.79499589442834</c:v>
                </c:pt>
                <c:pt idx="1">
                  <c:v>40.814603737565591</c:v>
                </c:pt>
                <c:pt idx="2">
                  <c:v>39.834211580702856</c:v>
                </c:pt>
                <c:pt idx="3">
                  <c:v>38.8538194238401</c:v>
                </c:pt>
                <c:pt idx="4">
                  <c:v>37.873427266977352</c:v>
                </c:pt>
                <c:pt idx="5">
                  <c:v>36.893035110114603</c:v>
                </c:pt>
                <c:pt idx="6">
                  <c:v>35.912642953251854</c:v>
                </c:pt>
                <c:pt idx="7">
                  <c:v>34.93225079638912</c:v>
                </c:pt>
                <c:pt idx="8">
                  <c:v>33.951858639526378</c:v>
                </c:pt>
                <c:pt idx="9">
                  <c:v>32.971466482663637</c:v>
                </c:pt>
                <c:pt idx="10">
                  <c:v>31.991074325800888</c:v>
                </c:pt>
                <c:pt idx="11">
                  <c:v>31.010682168938143</c:v>
                </c:pt>
                <c:pt idx="12">
                  <c:v>30.030290012075394</c:v>
                </c:pt>
                <c:pt idx="13">
                  <c:v>29.049897855212652</c:v>
                </c:pt>
                <c:pt idx="14">
                  <c:v>28.069505698349911</c:v>
                </c:pt>
                <c:pt idx="15">
                  <c:v>27.089113541487166</c:v>
                </c:pt>
                <c:pt idx="16">
                  <c:v>26.10872138462442</c:v>
                </c:pt>
                <c:pt idx="17">
                  <c:v>25.128329227761672</c:v>
                </c:pt>
                <c:pt idx="18">
                  <c:v>24.14793707089893</c:v>
                </c:pt>
                <c:pt idx="19">
                  <c:v>23.167544914036185</c:v>
                </c:pt>
                <c:pt idx="20">
                  <c:v>22.18715275717344</c:v>
                </c:pt>
                <c:pt idx="21">
                  <c:v>21.206760600310695</c:v>
                </c:pt>
                <c:pt idx="22">
                  <c:v>20.226368443447949</c:v>
                </c:pt>
                <c:pt idx="23">
                  <c:v>19.245976286585208</c:v>
                </c:pt>
                <c:pt idx="24">
                  <c:v>18.265584129722463</c:v>
                </c:pt>
                <c:pt idx="25">
                  <c:v>17.285191972859714</c:v>
                </c:pt>
                <c:pt idx="26">
                  <c:v>16.304799815996969</c:v>
                </c:pt>
                <c:pt idx="27">
                  <c:v>15.32440765913422</c:v>
                </c:pt>
                <c:pt idx="28">
                  <c:v>14.344015502271475</c:v>
                </c:pt>
                <c:pt idx="29">
                  <c:v>13.363623345408733</c:v>
                </c:pt>
                <c:pt idx="30">
                  <c:v>12.38323118854599</c:v>
                </c:pt>
                <c:pt idx="31">
                  <c:v>11.402839031683245</c:v>
                </c:pt>
                <c:pt idx="32">
                  <c:v>10.422446874820498</c:v>
                </c:pt>
                <c:pt idx="33">
                  <c:v>9.4420547179577561</c:v>
                </c:pt>
                <c:pt idx="34">
                  <c:v>8.4616625610950091</c:v>
                </c:pt>
                <c:pt idx="35">
                  <c:v>7.481270404232264</c:v>
                </c:pt>
                <c:pt idx="36">
                  <c:v>7.0378635985350018</c:v>
                </c:pt>
                <c:pt idx="37">
                  <c:v>6.5912458464682553</c:v>
                </c:pt>
                <c:pt idx="38">
                  <c:v>6.1414137512050084</c:v>
                </c:pt>
                <c:pt idx="39">
                  <c:v>5.6883641637205669</c:v>
                </c:pt>
                <c:pt idx="40">
                  <c:v>5.2320941836684076</c:v>
                </c:pt>
                <c:pt idx="41">
                  <c:v>4.7726011601877003</c:v>
                </c:pt>
                <c:pt idx="42">
                  <c:v>4.3098826926420921</c:v>
                </c:pt>
                <c:pt idx="43">
                  <c:v>3.8439366312893708</c:v>
                </c:pt>
                <c:pt idx="44">
                  <c:v>3.3747610778816193</c:v>
                </c:pt>
                <c:pt idx="45">
                  <c:v>2.9023543861955368</c:v>
                </c:pt>
                <c:pt idx="46">
                  <c:v>2.4267151624926435</c:v>
                </c:pt>
                <c:pt idx="47">
                  <c:v>1.9478422659091086</c:v>
                </c:pt>
                <c:pt idx="48">
                  <c:v>1.4657348087749951</c:v>
                </c:pt>
                <c:pt idx="49">
                  <c:v>0.98039215686274506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3-0047-B19D-9FACB312D836}"/>
            </c:ext>
          </c:extLst>
        </c:ser>
        <c:ser>
          <c:idx val="2"/>
          <c:order val="2"/>
          <c:tx>
            <c:strRef>
              <c:f>'Consultant Baseline'!$S$3</c:f>
              <c:strCache>
                <c:ptCount val="1"/>
                <c:pt idx="0">
                  <c:v>Duration of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Baseline'!$S$4:$S$54</c:f>
              <c:numCache>
                <c:formatCode>0</c:formatCode>
                <c:ptCount val="51"/>
                <c:pt idx="0">
                  <c:v>21.021544843880971</c:v>
                </c:pt>
                <c:pt idx="1">
                  <c:v>20.686557245115111</c:v>
                </c:pt>
                <c:pt idx="2">
                  <c:v>20.348622241726844</c:v>
                </c:pt>
                <c:pt idx="3">
                  <c:v>20.007728794504022</c:v>
                </c:pt>
                <c:pt idx="4">
                  <c:v>19.663866044186737</c:v>
                </c:pt>
                <c:pt idx="5">
                  <c:v>19.317023314211887</c:v>
                </c:pt>
                <c:pt idx="6">
                  <c:v>18.967190113423221</c:v>
                </c:pt>
                <c:pt idx="7">
                  <c:v>18.614356138745791</c:v>
                </c:pt>
                <c:pt idx="8">
                  <c:v>18.258511277823274</c:v>
                </c:pt>
                <c:pt idx="9">
                  <c:v>17.899645611617039</c:v>
                </c:pt>
                <c:pt idx="10">
                  <c:v>17.537749416965696</c:v>
                </c:pt>
                <c:pt idx="11">
                  <c:v>17.172813169103652</c:v>
                </c:pt>
                <c:pt idx="12">
                  <c:v>16.804827544137755</c:v>
                </c:pt>
                <c:pt idx="13">
                  <c:v>16.433783421480456</c:v>
                </c:pt>
                <c:pt idx="14">
                  <c:v>16.059671886238561</c:v>
                </c:pt>
                <c:pt idx="15">
                  <c:v>15.682484231556142</c:v>
                </c:pt>
                <c:pt idx="16">
                  <c:v>15.302211960910601</c:v>
                </c:pt>
                <c:pt idx="17">
                  <c:v>14.918846790360561</c:v>
                </c:pt>
                <c:pt idx="18">
                  <c:v>14.532380650744596</c:v>
                </c:pt>
                <c:pt idx="19">
                  <c:v>14.14280568982956</c:v>
                </c:pt>
                <c:pt idx="20">
                  <c:v>13.750114274407416</c:v>
                </c:pt>
                <c:pt idx="21">
                  <c:v>13.354298992339601</c:v>
                </c:pt>
                <c:pt idx="22">
                  <c:v>12.955352654547704</c:v>
                </c:pt>
                <c:pt idx="23">
                  <c:v>12.553268296949522</c:v>
                </c:pt>
                <c:pt idx="24">
                  <c:v>12.148039182339472</c:v>
                </c:pt>
                <c:pt idx="25">
                  <c:v>11.739658802212361</c:v>
                </c:pt>
                <c:pt idx="26">
                  <c:v>11.328120878529543</c:v>
                </c:pt>
                <c:pt idx="27">
                  <c:v>10.913419365426567</c:v>
                </c:pt>
                <c:pt idx="28">
                  <c:v>10.495548450861394</c:v>
                </c:pt>
                <c:pt idx="29">
                  <c:v>10.074502558202276</c:v>
                </c:pt>
                <c:pt idx="30">
                  <c:v>9.6502763477545255</c:v>
                </c:pt>
                <c:pt idx="31">
                  <c:v>9.2228647182252992</c:v>
                </c:pt>
                <c:pt idx="32">
                  <c:v>8.7922628081256509</c:v>
                </c:pt>
                <c:pt idx="33">
                  <c:v>8.3584659971090645</c:v>
                </c:pt>
                <c:pt idx="34">
                  <c:v>7.9214699072457861</c:v>
                </c:pt>
                <c:pt idx="35">
                  <c:v>7.4812704042322649</c:v>
                </c:pt>
                <c:pt idx="36">
                  <c:v>7.0378635985349982</c:v>
                </c:pt>
                <c:pt idx="37">
                  <c:v>6.5912458464682571</c:v>
                </c:pt>
                <c:pt idx="38">
                  <c:v>6.1414137512050067</c:v>
                </c:pt>
                <c:pt idx="39">
                  <c:v>5.6883641637205669</c:v>
                </c:pt>
                <c:pt idx="40">
                  <c:v>5.2320941836684094</c:v>
                </c:pt>
                <c:pt idx="41">
                  <c:v>4.7726011601877012</c:v>
                </c:pt>
                <c:pt idx="42">
                  <c:v>4.309882692642093</c:v>
                </c:pt>
                <c:pt idx="43">
                  <c:v>3.8439366312893708</c:v>
                </c:pt>
                <c:pt idx="44">
                  <c:v>3.3747610778816197</c:v>
                </c:pt>
                <c:pt idx="45">
                  <c:v>2.9023543861955372</c:v>
                </c:pt>
                <c:pt idx="46">
                  <c:v>2.426715162492644</c:v>
                </c:pt>
                <c:pt idx="47">
                  <c:v>1.9478422659091086</c:v>
                </c:pt>
                <c:pt idx="48">
                  <c:v>1.4657348087749953</c:v>
                </c:pt>
                <c:pt idx="49">
                  <c:v>0.98039215686274506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A3-0047-B19D-9FACB312D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Capital vs</a:t>
            </a:r>
            <a:r>
              <a:rPr lang="en-US" baseline="0"/>
              <a:t> Financial Wealth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Baseline'!$W$3</c:f>
              <c:strCache>
                <c:ptCount val="1"/>
                <c:pt idx="0">
                  <c:v>Financial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Baseline'!$W$4:$W$54</c:f>
              <c:numCache>
                <c:formatCode>General</c:formatCode>
                <c:ptCount val="51"/>
                <c:pt idx="0">
                  <c:v>100</c:v>
                </c:pt>
                <c:pt idx="1">
                  <c:v>254.38</c:v>
                </c:pt>
                <c:pt idx="2">
                  <c:v>415.52184399999999</c:v>
                </c:pt>
                <c:pt idx="3">
                  <c:v>583.72170076719999</c:v>
                </c:pt>
                <c:pt idx="4">
                  <c:v>759.28871126080344</c:v>
                </c:pt>
                <c:pt idx="5">
                  <c:v>942.54555681402667</c:v>
                </c:pt>
                <c:pt idx="6">
                  <c:v>1133.8290522024811</c:v>
                </c:pt>
                <c:pt idx="7">
                  <c:v>1333.4907646889499</c:v>
                </c:pt>
                <c:pt idx="8">
                  <c:v>1541.897660182326</c:v>
                </c:pt>
                <c:pt idx="9">
                  <c:v>1759.4327776983121</c:v>
                </c:pt>
                <c:pt idx="10">
                  <c:v>1986.4959333614981</c:v>
                </c:pt>
                <c:pt idx="11">
                  <c:v>2223.5044552427321</c:v>
                </c:pt>
                <c:pt idx="12">
                  <c:v>2470.893950382364</c:v>
                </c:pt>
                <c:pt idx="13">
                  <c:v>2729.1191054091119</c:v>
                </c:pt>
                <c:pt idx="14">
                  <c:v>2998.6545222260311</c:v>
                </c:pt>
                <c:pt idx="15">
                  <c:v>3280.1263576677948</c:v>
                </c:pt>
                <c:pt idx="16">
                  <c:v>3573.7085543689877</c:v>
                </c:pt>
                <c:pt idx="17">
                  <c:v>3879.4198552335752</c:v>
                </c:pt>
                <c:pt idx="18">
                  <c:v>4197.3536733406572</c:v>
                </c:pt>
                <c:pt idx="19">
                  <c:v>4527.6658141110611</c:v>
                </c:pt>
                <c:pt idx="20">
                  <c:v>4870.5651685933371</c:v>
                </c:pt>
                <c:pt idx="21">
                  <c:v>5226.3066673669455</c:v>
                </c:pt>
                <c:pt idx="22">
                  <c:v>5595.0450840582816</c:v>
                </c:pt>
                <c:pt idx="23">
                  <c:v>5977.1721820977364</c:v>
                </c:pt>
                <c:pt idx="24">
                  <c:v>6373.1099704288245</c:v>
                </c:pt>
                <c:pt idx="25">
                  <c:v>6783.3034166274256</c:v>
                </c:pt>
                <c:pt idx="26">
                  <c:v>7208.2191966816536</c:v>
                </c:pt>
                <c:pt idx="27">
                  <c:v>7648.3447828645685</c:v>
                </c:pt>
                <c:pt idx="28">
                  <c:v>8104.1877956769404</c:v>
                </c:pt>
                <c:pt idx="29">
                  <c:v>8576.2755647241684</c:v>
                </c:pt>
                <c:pt idx="30">
                  <c:v>9065.154857091431</c:v>
                </c:pt>
                <c:pt idx="31">
                  <c:v>9571.3917418180918</c:v>
                </c:pt>
                <c:pt idx="32">
                  <c:v>10095.571566496719</c:v>
                </c:pt>
                <c:pt idx="33">
                  <c:v>10638.299027564775</c:v>
                </c:pt>
                <c:pt idx="34">
                  <c:v>11200.19832003189</c:v>
                </c:pt>
                <c:pt idx="35">
                  <c:v>11781.913355557319</c:v>
                </c:pt>
                <c:pt idx="36">
                  <c:v>12134.108140222015</c:v>
                </c:pt>
                <c:pt idx="37">
                  <c:v>12501.117264674589</c:v>
                </c:pt>
                <c:pt idx="38">
                  <c:v>12883.542422526487</c:v>
                </c:pt>
                <c:pt idx="39">
                  <c:v>13282.012150363676</c:v>
                </c:pt>
                <c:pt idx="40">
                  <c:v>13697.182777583817</c:v>
                </c:pt>
                <c:pt idx="41">
                  <c:v>14129.739411573535</c:v>
                </c:pt>
                <c:pt idx="42">
                  <c:v>14580.396960595685</c:v>
                </c:pt>
                <c:pt idx="43">
                  <c:v>15049.901196792111</c:v>
                </c:pt>
                <c:pt idx="44">
                  <c:v>15539.02986174441</c:v>
                </c:pt>
                <c:pt idx="45">
                  <c:v>16048.593817073719</c:v>
                </c:pt>
                <c:pt idx="46">
                  <c:v>16579.438242601012</c:v>
                </c:pt>
                <c:pt idx="47">
                  <c:v>17132.443884631888</c:v>
                </c:pt>
                <c:pt idx="48">
                  <c:v>17708.528356974708</c:v>
                </c:pt>
                <c:pt idx="49">
                  <c:v>18308.64749734848</c:v>
                </c:pt>
                <c:pt idx="50">
                  <c:v>18933.796781887319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8-654F-AC15-7160E32A618B}"/>
            </c:ext>
          </c:extLst>
        </c:ser>
        <c:ser>
          <c:idx val="1"/>
          <c:order val="1"/>
          <c:tx>
            <c:strRef>
              <c:f>'Consultant Baseline'!$X$3</c:f>
              <c:strCache>
                <c:ptCount val="1"/>
                <c:pt idx="0">
                  <c:v>Total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Baseline'!$X$4:$X$54</c:f>
              <c:numCache>
                <c:formatCode>0</c:formatCode>
                <c:ptCount val="51"/>
                <c:pt idx="0">
                  <c:v>3207.2948861422497</c:v>
                </c:pt>
                <c:pt idx="1">
                  <c:v>3273.8207838650951</c:v>
                </c:pt>
                <c:pt idx="2">
                  <c:v>3345.3514435423958</c:v>
                </c:pt>
                <c:pt idx="3">
                  <c:v>3422.1478923004443</c:v>
                </c:pt>
                <c:pt idx="4">
                  <c:v>3504.4834266247126</c:v>
                </c:pt>
                <c:pt idx="5">
                  <c:v>3592.6441664852155</c:v>
                </c:pt>
                <c:pt idx="6">
                  <c:v>3686.9296340670935</c:v>
                </c:pt>
                <c:pt idx="7">
                  <c:v>3787.6533581908534</c:v>
                </c:pt>
                <c:pt idx="8">
                  <c:v>3895.1435055542674</c:v>
                </c:pt>
                <c:pt idx="9">
                  <c:v>4009.7435399776932</c:v>
                </c:pt>
                <c:pt idx="10">
                  <c:v>4131.8129108864678</c:v>
                </c:pt>
                <c:pt idx="11">
                  <c:v>4261.7277723181996</c:v>
                </c:pt>
                <c:pt idx="12">
                  <c:v>4399.8817337993423</c:v>
                </c:pt>
                <c:pt idx="13">
                  <c:v>4546.6866444944299</c:v>
                </c:pt>
                <c:pt idx="14">
                  <c:v>4702.5734120930556</c:v>
                </c:pt>
                <c:pt idx="15">
                  <c:v>4868.1236253321595</c:v>
                </c:pt>
                <c:pt idx="16">
                  <c:v>5043.4657673866395</c:v>
                </c:pt>
                <c:pt idx="17">
                  <c:v>5228.572212511579</c:v>
                </c:pt>
                <c:pt idx="18">
                  <c:v>5423.4890777642213</c:v>
                </c:pt>
                <c:pt idx="19">
                  <c:v>5628.3239266230967</c:v>
                </c:pt>
                <c:pt idx="20">
                  <c:v>5843.2364433556131</c:v>
                </c:pt>
                <c:pt idx="21">
                  <c:v>6068.4313676244656</c:v>
                </c:pt>
                <c:pt idx="22">
                  <c:v>6304.0122783209536</c:v>
                </c:pt>
                <c:pt idx="23">
                  <c:v>6550.318720245662</c:v>
                </c:pt>
                <c:pt idx="24">
                  <c:v>6807.7194393397085</c:v>
                </c:pt>
                <c:pt idx="25">
                  <c:v>7076.605074916527</c:v>
                </c:pt>
                <c:pt idx="26">
                  <c:v>7357.386888136537</c:v>
                </c:pt>
                <c:pt idx="27">
                  <c:v>7650.4958281485497</c:v>
                </c:pt>
                <c:pt idx="28">
                  <c:v>7956.381861866601</c:v>
                </c:pt>
                <c:pt idx="29">
                  <c:v>8275.5135122376232</c:v>
                </c:pt>
                <c:pt idx="30">
                  <c:v>8608.3775635551538</c:v>
                </c:pt>
                <c:pt idx="31">
                  <c:v>8955.4789024110887</c:v>
                </c:pt>
                <c:pt idx="32">
                  <c:v>9317.3404703015767</c:v>
                </c:pt>
                <c:pt idx="33">
                  <c:v>9694.5033094457303</c:v>
                </c:pt>
                <c:pt idx="34">
                  <c:v>10087.526687550464</c:v>
                </c:pt>
                <c:pt idx="35">
                  <c:v>10496.988290426265</c:v>
                </c:pt>
                <c:pt idx="36">
                  <c:v>10923.48447378834</c:v>
                </c:pt>
                <c:pt idx="37">
                  <c:v>11366.281024912239</c:v>
                </c:pt>
                <c:pt idx="38">
                  <c:v>11826.009357968891</c:v>
                </c:pt>
                <c:pt idx="39">
                  <c:v>12303.328324514929</c:v>
                </c:pt>
                <c:pt idx="40">
                  <c:v>12798.925175218094</c:v>
                </c:pt>
                <c:pt idx="41">
                  <c:v>13313.516557160498</c:v>
                </c:pt>
                <c:pt idx="42">
                  <c:v>13847.849549094386</c:v>
                </c:pt>
                <c:pt idx="43">
                  <c:v>14402.702737060787</c:v>
                </c:pt>
                <c:pt idx="44">
                  <c:v>14978.887332818458</c:v>
                </c:pt>
                <c:pt idx="45">
                  <c:v>15577.24833756925</c:v>
                </c:pt>
                <c:pt idx="46">
                  <c:v>16198.665753506453</c:v>
                </c:pt>
                <c:pt idx="47">
                  <c:v>16844.055845755436</c:v>
                </c:pt>
                <c:pt idx="48">
                  <c:v>17514.372457320729</c:v>
                </c:pt>
                <c:pt idx="49">
                  <c:v>18210.608379701422</c:v>
                </c:pt>
                <c:pt idx="50">
                  <c:v>18833.79688188732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58-654F-AC15-7160E32A6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Decomposition of Human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Baseline'!$Z$3</c:f>
              <c:strCache>
                <c:ptCount val="1"/>
                <c:pt idx="0">
                  <c:v>Stocks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Baseline'!$Z$4:$Z$54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F-7F43-9F30-729274B3D081}"/>
            </c:ext>
          </c:extLst>
        </c:ser>
        <c:ser>
          <c:idx val="1"/>
          <c:order val="1"/>
          <c:tx>
            <c:strRef>
              <c:f>'Consultant Baseline'!$AA$3</c:f>
              <c:strCache>
                <c:ptCount val="1"/>
                <c:pt idx="0">
                  <c:v>Bonds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Baseline'!$AA$4:$AA$54</c:f>
              <c:numCache>
                <c:formatCode>0</c:formatCode>
                <c:ptCount val="51"/>
                <c:pt idx="0">
                  <c:v>5297.8439660177801</c:v>
                </c:pt>
                <c:pt idx="1">
                  <c:v>5065.9816651754991</c:v>
                </c:pt>
                <c:pt idx="2">
                  <c:v>4836.2392482266332</c:v>
                </c:pt>
                <c:pt idx="3">
                  <c:v>4608.7942554472538</c:v>
                </c:pt>
                <c:pt idx="4">
                  <c:v>4383.8304807709246</c:v>
                </c:pt>
                <c:pt idx="5">
                  <c:v>4161.5381509188755</c:v>
                </c:pt>
                <c:pt idx="6">
                  <c:v>3942.1141091939498</c:v>
                </c:pt>
                <c:pt idx="7">
                  <c:v>3725.7620040531756</c:v>
                </c:pt>
                <c:pt idx="8">
                  <c:v>3512.6924825766027</c:v>
                </c:pt>
                <c:pt idx="9">
                  <c:v>3303.1233889528603</c:v>
                </c:pt>
                <c:pt idx="10">
                  <c:v>3097.2799681046517</c:v>
                </c:pt>
                <c:pt idx="11">
                  <c:v>2895.3950745804468</c:v>
                </c:pt>
                <c:pt idx="12">
                  <c:v>2697.7093868415454</c:v>
                </c:pt>
                <c:pt idx="13">
                  <c:v>2504.471627076769</c:v>
                </c:pt>
                <c:pt idx="14">
                  <c:v>2315.9387866801799</c:v>
                </c:pt>
                <c:pt idx="15">
                  <c:v>2132.3763575304079</c:v>
                </c:pt>
                <c:pt idx="16">
                  <c:v>1954.058569213488</c:v>
                </c:pt>
                <c:pt idx="17">
                  <c:v>1781.2686323343926</c:v>
                </c:pt>
                <c:pt idx="18">
                  <c:v>1614.2989880659604</c:v>
                </c:pt>
                <c:pt idx="19">
                  <c:v>1453.4515640873713</c:v>
                </c:pt>
                <c:pt idx="20">
                  <c:v>1299.0380370679252</c:v>
                </c:pt>
                <c:pt idx="21">
                  <c:v>1151.380101855581</c:v>
                </c:pt>
                <c:pt idx="22">
                  <c:v>1010.8097475334288</c:v>
                </c:pt>
                <c:pt idx="23">
                  <c:v>877.66954051116147</c:v>
                </c:pt>
                <c:pt idx="24">
                  <c:v>752.31291482250413</c:v>
                </c:pt>
                <c:pt idx="25">
                  <c:v>635.10446980360882</c:v>
                </c:pt>
                <c:pt idx="26">
                  <c:v>526.42027533154283</c:v>
                </c:pt>
                <c:pt idx="27">
                  <c:v>426.64818480618607</c:v>
                </c:pt>
                <c:pt idx="28">
                  <c:v>336.18815606319612</c:v>
                </c:pt>
                <c:pt idx="29">
                  <c:v>255.45258041007733</c:v>
                </c:pt>
                <c:pt idx="30">
                  <c:v>184.86661998192218</c:v>
                </c:pt>
                <c:pt idx="31">
                  <c:v>124.86855361799026</c:v>
                </c:pt>
                <c:pt idx="32">
                  <c:v>75.910131465021863</c:v>
                </c:pt>
                <c:pt idx="33">
                  <c:v>38.45693851800101</c:v>
                </c:pt>
                <c:pt idx="34">
                  <c:v>12.98876731402683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8F-7F43-9F30-729274B3D081}"/>
            </c:ext>
          </c:extLst>
        </c:ser>
        <c:ser>
          <c:idx val="2"/>
          <c:order val="2"/>
          <c:tx>
            <c:strRef>
              <c:f>'Consultant Baseline'!$AB$3</c:f>
              <c:strCache>
                <c:ptCount val="1"/>
                <c:pt idx="0">
                  <c:v>Cash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Baseline'!$AB$4:$AB$54</c:f>
              <c:numCache>
                <c:formatCode>0</c:formatCode>
                <c:ptCount val="51"/>
                <c:pt idx="0">
                  <c:v>951.81086699100433</c:v>
                </c:pt>
                <c:pt idx="1">
                  <c:v>1058.6662644934613</c:v>
                </c:pt>
                <c:pt idx="2">
                  <c:v>1160.9016400357059</c:v>
                </c:pt>
                <c:pt idx="3">
                  <c:v>1258.2894505803315</c:v>
                </c:pt>
                <c:pt idx="4">
                  <c:v>1350.5948993772136</c:v>
                </c:pt>
                <c:pt idx="5">
                  <c:v>1437.5757368322256</c:v>
                </c:pt>
                <c:pt idx="6">
                  <c:v>1518.9820563121739</c:v>
                </c:pt>
                <c:pt idx="7">
                  <c:v>1594.5560847630695</c:v>
                </c:pt>
                <c:pt idx="8">
                  <c:v>1664.0319680159664</c:v>
                </c:pt>
                <c:pt idx="9">
                  <c:v>1727.135550651562</c:v>
                </c:pt>
                <c:pt idx="10">
                  <c:v>1783.5841502918593</c:v>
                </c:pt>
                <c:pt idx="11">
                  <c:v>1833.0863261839941</c:v>
                </c:pt>
                <c:pt idx="12">
                  <c:v>1875.3416419381842</c:v>
                </c:pt>
                <c:pt idx="13">
                  <c:v>1910.040422278556</c:v>
                </c:pt>
                <c:pt idx="14">
                  <c:v>1936.8635036622518</c:v>
                </c:pt>
                <c:pt idx="15">
                  <c:v>1955.4819786188718</c:v>
                </c:pt>
                <c:pt idx="16">
                  <c:v>1965.5569336587776</c:v>
                </c:pt>
                <c:pt idx="17">
                  <c:v>1966.7391805953173</c:v>
                </c:pt>
                <c:pt idx="18">
                  <c:v>1958.6689811223439</c:v>
                </c:pt>
                <c:pt idx="19">
                  <c:v>1940.9757644846989</c:v>
                </c:pt>
                <c:pt idx="20">
                  <c:v>1913.277838075586</c:v>
                </c:pt>
                <c:pt idx="21">
                  <c:v>1875.1820907908</c:v>
                </c:pt>
                <c:pt idx="22">
                  <c:v>1826.2836889658806</c:v>
                </c:pt>
                <c:pt idx="23">
                  <c:v>1766.1657647181341</c:v>
                </c:pt>
                <c:pt idx="24">
                  <c:v>1694.3990965113774</c:v>
                </c:pt>
                <c:pt idx="25">
                  <c:v>1610.5417817569491</c:v>
                </c:pt>
                <c:pt idx="26">
                  <c:v>1514.1389012602272</c:v>
                </c:pt>
                <c:pt idx="27">
                  <c:v>1404.7221753174192</c:v>
                </c:pt>
                <c:pt idx="28">
                  <c:v>1281.8096112628818</c:v>
                </c:pt>
                <c:pt idx="29">
                  <c:v>1144.9051422625218</c:v>
                </c:pt>
                <c:pt idx="30">
                  <c:v>993.49825714412918</c:v>
                </c:pt>
                <c:pt idx="31">
                  <c:v>827.06362105058179</c:v>
                </c:pt>
                <c:pt idx="32">
                  <c:v>645.06068669692195</c:v>
                </c:pt>
                <c:pt idx="33">
                  <c:v>446.93329600718164</c:v>
                </c:pt>
                <c:pt idx="34">
                  <c:v>232.10927190165947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8F-7F43-9F30-729274B3D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+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Baseline'!$AC$3</c:f>
              <c:strCache>
                <c:ptCount val="1"/>
                <c:pt idx="0">
                  <c:v>Bonds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Baseline'!$AC$4:$AC$54</c:f>
              <c:numCache>
                <c:formatCode>0</c:formatCode>
                <c:ptCount val="51"/>
                <c:pt idx="0">
                  <c:v>1.4515258754839472E-3</c:v>
                </c:pt>
                <c:pt idx="1">
                  <c:v>1.4458267359038059E-3</c:v>
                </c:pt>
                <c:pt idx="2">
                  <c:v>1.4393190203902651E-3</c:v>
                </c:pt>
                <c:pt idx="3">
                  <c:v>1.4319726655618208E-3</c:v>
                </c:pt>
                <c:pt idx="4">
                  <c:v>1.4237567289320833E-3</c:v>
                </c:pt>
                <c:pt idx="5">
                  <c:v>1.4146393657709312E-3</c:v>
                </c:pt>
                <c:pt idx="6">
                  <c:v>1.4045878053917603E-3</c:v>
                </c:pt>
                <c:pt idx="7">
                  <c:v>1.3935683268511145E-3</c:v>
                </c:pt>
                <c:pt idx="8">
                  <c:v>1.3815462340466861E-3</c:v>
                </c:pt>
                <c:pt idx="9">
                  <c:v>1.3684858301993398E-3</c:v>
                </c:pt>
                <c:pt idx="10">
                  <c:v>1.3543503917044812E-3</c:v>
                </c:pt>
                <c:pt idx="11">
                  <c:v>1.3391021413377481E-3</c:v>
                </c:pt>
                <c:pt idx="12">
                  <c:v>1.3227022207996644E-3</c:v>
                </c:pt>
                <c:pt idx="13">
                  <c:v>1.3051106625835221E-3</c:v>
                </c:pt>
                <c:pt idx="14">
                  <c:v>1.2862863611504145E-3</c:v>
                </c:pt>
                <c:pt idx="15">
                  <c:v>1.2661870433949487E-3</c:v>
                </c:pt>
                <c:pt idx="16">
                  <c:v>1.2447692383848045E-3</c:v>
                </c:pt>
                <c:pt idx="17">
                  <c:v>1.2219882463568961E-3</c:v>
                </c:pt>
                <c:pt idx="18">
                  <c:v>1.1977981069525179E-3</c:v>
                </c:pt>
                <c:pt idx="19">
                  <c:v>1.1721515666734215E-3</c:v>
                </c:pt>
                <c:pt idx="20">
                  <c:v>1.1450000455403802E-3</c:v>
                </c:pt>
                <c:pt idx="21">
                  <c:v>1.1162936029353481E-3</c:v>
                </c:pt>
                <c:pt idx="22">
                  <c:v>1.0859809026078986E-3</c:v>
                </c:pt>
                <c:pt idx="23">
                  <c:v>1.0540091768261766E-3</c:v>
                </c:pt>
                <c:pt idx="24">
                  <c:v>1.0203241896521429E-3</c:v>
                </c:pt>
                <c:pt idx="25">
                  <c:v>9.8487019932041705E-4</c:v>
                </c:pt>
                <c:pt idx="26">
                  <c:v>9.4758991969956183E-4</c:v>
                </c:pt>
                <c:pt idx="27">
                  <c:v>9.0842448081414351E-4</c:v>
                </c:pt>
                <c:pt idx="28">
                  <c:v>8.6731338840542933E-4</c:v>
                </c:pt>
                <c:pt idx="29">
                  <c:v>8.2419448250804067E-4</c:v>
                </c:pt>
                <c:pt idx="30">
                  <c:v>7.7900389501939465E-4</c:v>
                </c:pt>
                <c:pt idx="31">
                  <c:v>7.3167600623819898E-4</c:v>
                </c:pt>
                <c:pt idx="32">
                  <c:v>6.8214340034774808E-4</c:v>
                </c:pt>
                <c:pt idx="33">
                  <c:v>6.3033681981918401E-4</c:v>
                </c:pt>
                <c:pt idx="34">
                  <c:v>5.7618511870933782E-4</c:v>
                </c:pt>
                <c:pt idx="35">
                  <c:v>5.1961521482717023E-4</c:v>
                </c:pt>
                <c:pt idx="36">
                  <c:v>4.6055204074223243E-4</c:v>
                </c:pt>
                <c:pt idx="37">
                  <c:v>4.0432389901337139E-4</c:v>
                </c:pt>
                <c:pt idx="38">
                  <c:v>3.5106781620446474E-4</c:v>
                </c:pt>
                <c:pt idx="39">
                  <c:v>3.0092516592900151E-4</c:v>
                </c:pt>
                <c:pt idx="40">
                  <c:v>2.5404178792144357E-4</c:v>
                </c:pt>
                <c:pt idx="41">
                  <c:v>2.1056811013261712E-4</c:v>
                </c:pt>
                <c:pt idx="42">
                  <c:v>1.7065927392247447E-4</c:v>
                </c:pt>
                <c:pt idx="43">
                  <c:v>1.3447526242527842E-4</c:v>
                </c:pt>
                <c:pt idx="44">
                  <c:v>1.0218103216403095E-4</c:v>
                </c:pt>
                <c:pt idx="45">
                  <c:v>7.3946647992768872E-5</c:v>
                </c:pt>
                <c:pt idx="46">
                  <c:v>4.994742144719612E-5</c:v>
                </c:pt>
                <c:pt idx="47">
                  <c:v>3.0364052586008738E-5</c:v>
                </c:pt>
                <c:pt idx="48">
                  <c:v>1.5382775407200403E-5</c:v>
                </c:pt>
                <c:pt idx="49">
                  <c:v>5.195506925610732E-6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5-7342-9172-B70E52C8FB45}"/>
            </c:ext>
          </c:extLst>
        </c:ser>
        <c:ser>
          <c:idx val="1"/>
          <c:order val="1"/>
          <c:tx>
            <c:strRef>
              <c:f>'Consultant Baseline'!$AD$3</c:f>
              <c:strCache>
                <c:ptCount val="1"/>
                <c:pt idx="0">
                  <c:v>Cash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Baseline'!$AD$4:$AD$54</c:f>
              <c:numCache>
                <c:formatCode>0</c:formatCode>
                <c:ptCount val="51"/>
                <c:pt idx="0">
                  <c:v>-8.0902721932227001E-4</c:v>
                </c:pt>
                <c:pt idx="1">
                  <c:v>-7.9047810661889509E-4</c:v>
                </c:pt>
                <c:pt idx="2">
                  <c:v>-7.7086341851965621E-4</c:v>
                </c:pt>
                <c:pt idx="3">
                  <c:v>-7.5014795165379976E-4</c:v>
                </c:pt>
                <c:pt idx="4">
                  <c:v>-7.282955207459017E-4</c:v>
                </c:pt>
                <c:pt idx="5">
                  <c:v>-7.0526893342102602E-4</c:v>
                </c:pt>
                <c:pt idx="6">
                  <c:v>-6.8102996439485693E-4</c:v>
                </c:pt>
                <c:pt idx="7">
                  <c:v>-6.5553932903427326E-4</c:v>
                </c:pt>
                <c:pt idx="8">
                  <c:v>-6.2875665627350793E-4</c:v>
                </c:pt>
                <c:pt idx="9">
                  <c:v>-6.0064046087069821E-4</c:v>
                </c:pt>
                <c:pt idx="10">
                  <c:v>-5.7114811498926664E-4</c:v>
                </c:pt>
                <c:pt idx="11">
                  <c:v>-5.4023581908822945E-4</c:v>
                </c:pt>
                <c:pt idx="12">
                  <c:v>-5.0785857210515516E-4</c:v>
                </c:pt>
                <c:pt idx="13">
                  <c:v>-4.7397014091512277E-4</c:v>
                </c:pt>
                <c:pt idx="14">
                  <c:v>-4.3852302904864708E-4</c:v>
                </c:pt>
                <c:pt idx="15">
                  <c:v>-4.0146844465114608E-4</c:v>
                </c:pt>
                <c:pt idx="16">
                  <c:v>-3.6275626766612569E-4</c:v>
                </c:pt>
                <c:pt idx="17">
                  <c:v>-3.2233501622384365E-4</c:v>
                </c:pt>
                <c:pt idx="18">
                  <c:v>-2.8015181221680452E-4</c:v>
                </c:pt>
                <c:pt idx="19">
                  <c:v>-2.3615234604299385E-4</c:v>
                </c:pt>
                <c:pt idx="20">
                  <c:v>-1.9028084049734406E-4</c:v>
                </c:pt>
                <c:pt idx="21">
                  <c:v>-1.4248001379145122E-4</c:v>
                </c:pt>
                <c:pt idx="22">
                  <c:v>-9.2691041681123611E-5</c:v>
                </c:pt>
                <c:pt idx="23">
                  <c:v>-4.0853518680866469E-5</c:v>
                </c:pt>
                <c:pt idx="24">
                  <c:v>1.3094581656073519E-5</c:v>
                </c:pt>
                <c:pt idx="25">
                  <c:v>6.921694741396367E-5</c:v>
                </c:pt>
                <c:pt idx="26">
                  <c:v>1.2757896996950667E-4</c:v>
                </c:pt>
                <c:pt idx="27">
                  <c:v>1.8824778664830618E-4</c:v>
                </c:pt>
                <c:pt idx="28">
                  <c:v>2.5129232440626961E-4</c:v>
                </c:pt>
                <c:pt idx="29">
                  <c:v>3.1678334455989196E-4</c:v>
                </c:pt>
                <c:pt idx="30">
                  <c:v>3.8479348858989687E-4</c:v>
                </c:pt>
                <c:pt idx="31">
                  <c:v>4.5539732504327796E-4</c:v>
                </c:pt>
                <c:pt idx="32">
                  <c:v>5.2867139755935879E-4</c:v>
                </c:pt>
                <c:pt idx="33">
                  <c:v>6.0469427404606505E-4</c:v>
                </c:pt>
                <c:pt idx="34">
                  <c:v>6.835465970332162E-4</c:v>
                </c:pt>
                <c:pt idx="35">
                  <c:v>7.6531113523023474E-4</c:v>
                </c:pt>
                <c:pt idx="36">
                  <c:v>7.500728363163203E-4</c:v>
                </c:pt>
                <c:pt idx="37">
                  <c:v>7.3051347558635276E-4</c:v>
                </c:pt>
                <c:pt idx="38">
                  <c:v>7.0646630588725389E-4</c:v>
                </c:pt>
                <c:pt idx="39">
                  <c:v>6.7775963860455097E-4</c:v>
                </c:pt>
                <c:pt idx="40">
                  <c:v>6.4421671270278023E-4</c:v>
                </c:pt>
                <c:pt idx="41">
                  <c:v>6.0565556050409114E-4</c:v>
                </c:pt>
                <c:pt idx="42">
                  <c:v>5.6188887012696784E-4</c:v>
                </c:pt>
                <c:pt idx="43">
                  <c:v>5.1272384450515263E-4</c:v>
                </c:pt>
                <c:pt idx="44">
                  <c:v>4.5796205690500888E-4</c:v>
                </c:pt>
                <c:pt idx="45">
                  <c:v>3.9739930285765171E-4</c:v>
                </c:pt>
                <c:pt idx="46">
                  <c:v>3.3082544842023289E-4</c:v>
                </c:pt>
                <c:pt idx="47">
                  <c:v>2.580242746787687E-4</c:v>
                </c:pt>
                <c:pt idx="48">
                  <c:v>1.7877331840287263E-4</c:v>
                </c:pt>
                <c:pt idx="49">
                  <c:v>9.2843708760663785E-5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65-7342-9172-B70E52C8FB45}"/>
            </c:ext>
          </c:extLst>
        </c:ser>
        <c:ser>
          <c:idx val="2"/>
          <c:order val="2"/>
          <c:tx>
            <c:strRef>
              <c:f>'Consultant Baseline'!$AE$3</c:f>
              <c:strCache>
                <c:ptCount val="1"/>
                <c:pt idx="0">
                  <c:v>Bonds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Baseline'!$AE$4:$AE$54</c:f>
              <c:numCache>
                <c:formatCode>General</c:formatCode>
                <c:ptCount val="51"/>
                <c:pt idx="0">
                  <c:v>-3570.6634618910589</c:v>
                </c:pt>
                <c:pt idx="1">
                  <c:v>-3472.2194019740055</c:v>
                </c:pt>
                <c:pt idx="2">
                  <c:v>-3373.8147196809182</c:v>
                </c:pt>
                <c:pt idx="3">
                  <c:v>-3275.4903677407228</c:v>
                </c:pt>
                <c:pt idx="4">
                  <c:v>-3177.288921240453</c:v>
                </c:pt>
                <c:pt idx="5">
                  <c:v>-3079.2546261384814</c:v>
                </c:pt>
                <c:pt idx="6">
                  <c:v>-2981.4334490693409</c:v>
                </c:pt>
                <c:pt idx="7">
                  <c:v>-2883.873128472384</c:v>
                </c:pt>
                <c:pt idx="8">
                  <c:v>-2786.6232270773271</c:v>
                </c:pt>
                <c:pt idx="9">
                  <c:v>-2689.7351857804838</c:v>
                </c:pt>
                <c:pt idx="10">
                  <c:v>-2593.2623789463419</c:v>
                </c:pt>
                <c:pt idx="11">
                  <c:v>-2497.2601711699263</c:v>
                </c:pt>
                <c:pt idx="12">
                  <c:v>-2401.7859755362829</c:v>
                </c:pt>
                <c:pt idx="13">
                  <c:v>-2306.8993134142297</c:v>
                </c:pt>
                <c:pt idx="14">
                  <c:v>-2212.6618758224859</c:v>
                </c:pt>
                <c:pt idx="15">
                  <c:v>-2119.137586407111</c:v>
                </c:pt>
                <c:pt idx="16">
                  <c:v>-2026.3926660701993</c:v>
                </c:pt>
                <c:pt idx="17">
                  <c:v>-1934.495699290653</c:v>
                </c:pt>
                <c:pt idx="18">
                  <c:v>-1843.5177021789016</c:v>
                </c:pt>
                <c:pt idx="19">
                  <c:v>-1753.53219230837</c:v>
                </c:pt>
                <c:pt idx="20">
                  <c:v>-1664.6152603675505</c:v>
                </c:pt>
                <c:pt idx="21">
                  <c:v>-1576.8456436775803</c:v>
                </c:pt>
                <c:pt idx="22">
                  <c:v>-1490.3048016212699</c:v>
                </c:pt>
                <c:pt idx="23">
                  <c:v>-1405.076993030641</c:v>
                </c:pt>
                <c:pt idx="24">
                  <c:v>-1321.2493555811443</c:v>
                </c:pt>
                <c:pt idx="25">
                  <c:v>-1238.9119872418605</c:v>
                </c:pt>
                <c:pt idx="26">
                  <c:v>-1158.158029832179</c:v>
                </c:pt>
                <c:pt idx="27">
                  <c:v>-1079.0837547366179</c:v>
                </c:pt>
                <c:pt idx="28">
                  <c:v>-1001.7886508307078</c:v>
                </c:pt>
                <c:pt idx="29">
                  <c:v>-926.37551467207174</c:v>
                </c:pt>
                <c:pt idx="30">
                  <c:v>-852.95054301216362</c:v>
                </c:pt>
                <c:pt idx="31">
                  <c:v>-781.62342768539497</c:v>
                </c:pt>
                <c:pt idx="32">
                  <c:v>-712.50745293375689</c:v>
                </c:pt>
                <c:pt idx="33">
                  <c:v>-645.7195952263844</c:v>
                </c:pt>
                <c:pt idx="34">
                  <c:v>-581.38062563494839</c:v>
                </c:pt>
                <c:pt idx="35">
                  <c:v>-519.61521482717023</c:v>
                </c:pt>
                <c:pt idx="36">
                  <c:v>-460.55204074223218</c:v>
                </c:pt>
                <c:pt idx="37">
                  <c:v>-404.32389901337143</c:v>
                </c:pt>
                <c:pt idx="38">
                  <c:v>-351.06781620446463</c:v>
                </c:pt>
                <c:pt idx="39">
                  <c:v>-300.92516592900148</c:v>
                </c:pt>
                <c:pt idx="40">
                  <c:v>-254.04178792144359</c:v>
                </c:pt>
                <c:pt idx="41">
                  <c:v>-210.56811013261711</c:v>
                </c:pt>
                <c:pt idx="42">
                  <c:v>-170.65927392247451</c:v>
                </c:pt>
                <c:pt idx="43">
                  <c:v>-134.4752624252784</c:v>
                </c:pt>
                <c:pt idx="44">
                  <c:v>-102.18103216403095</c:v>
                </c:pt>
                <c:pt idx="45">
                  <c:v>-73.94664799276886</c:v>
                </c:pt>
                <c:pt idx="46">
                  <c:v>-49.94742144719612</c:v>
                </c:pt>
                <c:pt idx="47">
                  <c:v>-30.364052586008739</c:v>
                </c:pt>
                <c:pt idx="48">
                  <c:v>-15.382775407200402</c:v>
                </c:pt>
                <c:pt idx="49">
                  <c:v>-5.195506925610732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65-7342-9172-B70E52C8FB45}"/>
            </c:ext>
          </c:extLst>
        </c:ser>
        <c:ser>
          <c:idx val="3"/>
          <c:order val="3"/>
          <c:tx>
            <c:strRef>
              <c:f>'Consultant Baseline'!$AF$3</c:f>
              <c:strCache>
                <c:ptCount val="1"/>
                <c:pt idx="0">
                  <c:v>Cash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Baseline'!$AF$4:$AF$54</c:f>
              <c:numCache>
                <c:formatCode>0</c:formatCode>
                <c:ptCount val="51"/>
                <c:pt idx="0">
                  <c:v>428.30287252586822</c:v>
                </c:pt>
                <c:pt idx="1">
                  <c:v>367.01160082151091</c:v>
                </c:pt>
                <c:pt idx="2">
                  <c:v>306.50276250537308</c:v>
                </c:pt>
                <c:pt idx="3">
                  <c:v>246.83217142166768</c:v>
                </c:pt>
                <c:pt idx="4">
                  <c:v>188.05756099501559</c:v>
                </c:pt>
                <c:pt idx="5">
                  <c:v>130.23863868813623</c:v>
                </c:pt>
                <c:pt idx="6">
                  <c:v>73.437141869987954</c:v>
                </c:pt>
                <c:pt idx="7">
                  <c:v>17.716895129044588</c:v>
                </c:pt>
                <c:pt idx="8">
                  <c:v>-36.856130932878386</c:v>
                </c:pt>
                <c:pt idx="9">
                  <c:v>-90.213759389926508</c:v>
                </c:pt>
                <c:pt idx="10">
                  <c:v>-142.28554512747633</c:v>
                </c:pt>
                <c:pt idx="11">
                  <c:v>-192.99871138536855</c:v>
                </c:pt>
                <c:pt idx="12">
                  <c:v>-242.27808467011801</c:v>
                </c:pt>
                <c:pt idx="13">
                  <c:v>-290.04602799629902</c:v>
                </c:pt>
                <c:pt idx="14">
                  <c:v>-336.22237241625317</c:v>
                </c:pt>
                <c:pt idx="15">
                  <c:v>-380.72434679640264</c:v>
                </c:pt>
                <c:pt idx="16">
                  <c:v>-423.46650579738503</c:v>
                </c:pt>
                <c:pt idx="17">
                  <c:v>-464.36065601428322</c:v>
                </c:pt>
                <c:pt idx="18">
                  <c:v>-503.31578023213319</c:v>
                </c:pt>
                <c:pt idx="19">
                  <c:v>-540.23795975088501</c:v>
                </c:pt>
                <c:pt idx="20">
                  <c:v>-575.03029473288962</c:v>
                </c:pt>
                <c:pt idx="21">
                  <c:v>-607.59282252486923</c:v>
                </c:pt>
                <c:pt idx="22">
                  <c:v>-637.82243390522876</c:v>
                </c:pt>
                <c:pt idx="23">
                  <c:v>-665.61278720638711</c:v>
                </c:pt>
                <c:pt idx="24">
                  <c:v>-690.85422026062452</c:v>
                </c:pt>
                <c:pt idx="25">
                  <c:v>-713.43366011674311</c:v>
                </c:pt>
                <c:pt idx="26">
                  <c:v>-733.23453047359726</c:v>
                </c:pt>
                <c:pt idx="27">
                  <c:v>-750.13665677527365</c:v>
                </c:pt>
                <c:pt idx="28">
                  <c:v>-764.01616891142214</c:v>
                </c:pt>
                <c:pt idx="29">
                  <c:v>-774.74540146490051</c:v>
                </c:pt>
                <c:pt idx="30">
                  <c:v>-782.1927914475483</c:v>
                </c:pt>
                <c:pt idx="31">
                  <c:v>-786.22277346351075</c:v>
                </c:pt>
                <c:pt idx="32">
                  <c:v>-786.69567223812737</c:v>
                </c:pt>
                <c:pt idx="33">
                  <c:v>-783.46759244893769</c:v>
                </c:pt>
                <c:pt idx="34">
                  <c:v>-776.39030579387997</c:v>
                </c:pt>
                <c:pt idx="35">
                  <c:v>-765.31113523023453</c:v>
                </c:pt>
                <c:pt idx="36">
                  <c:v>-750.0728363163206</c:v>
                </c:pt>
                <c:pt idx="37">
                  <c:v>-730.51347558635257</c:v>
                </c:pt>
                <c:pt idx="38">
                  <c:v>-706.46630588725407</c:v>
                </c:pt>
                <c:pt idx="39">
                  <c:v>-677.7596386045509</c:v>
                </c:pt>
                <c:pt idx="40">
                  <c:v>-644.21671270278011</c:v>
                </c:pt>
                <c:pt idx="41">
                  <c:v>-605.65556050409089</c:v>
                </c:pt>
                <c:pt idx="42">
                  <c:v>-561.88887012696773</c:v>
                </c:pt>
                <c:pt idx="43">
                  <c:v>-512.72384450515267</c:v>
                </c:pt>
                <c:pt idx="44">
                  <c:v>-457.96205690500881</c:v>
                </c:pt>
                <c:pt idx="45">
                  <c:v>-397.39930285765161</c:v>
                </c:pt>
                <c:pt idx="46">
                  <c:v>-330.82544842023287</c:v>
                </c:pt>
                <c:pt idx="47">
                  <c:v>-258.02427467876873</c:v>
                </c:pt>
                <c:pt idx="48">
                  <c:v>-178.77331840287263</c:v>
                </c:pt>
                <c:pt idx="49">
                  <c:v>-92.843708760663787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65-7342-9172-B70E52C8F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Baseline'!$AM$4:$AM$54</c:f>
              <c:numCache>
                <c:formatCode>General</c:formatCode>
                <c:ptCount val="51"/>
                <c:pt idx="0">
                  <c:v>1979.8116581125</c:v>
                </c:pt>
                <c:pt idx="1">
                  <c:v>2020.8770270772195</c:v>
                </c:pt>
                <c:pt idx="2">
                  <c:v>2065.0317552730839</c:v>
                </c:pt>
                <c:pt idx="3">
                  <c:v>2112.4369705558302</c:v>
                </c:pt>
                <c:pt idx="4">
                  <c:v>2163.2613744596993</c:v>
                </c:pt>
                <c:pt idx="5">
                  <c:v>2217.6815842501333</c:v>
                </c:pt>
                <c:pt idx="6">
                  <c:v>2275.8824901648727</c:v>
                </c:pt>
                <c:pt idx="7">
                  <c:v>2338.0576285128727</c:v>
                </c:pt>
                <c:pt idx="8">
                  <c:v>2404.4095713297952</c:v>
                </c:pt>
                <c:pt idx="9">
                  <c:v>2475.1503333195642</c:v>
                </c:pt>
                <c:pt idx="10">
                  <c:v>2550.5017968434991</c:v>
                </c:pt>
                <c:pt idx="11">
                  <c:v>2630.6961557519753</c:v>
                </c:pt>
                <c:pt idx="12">
                  <c:v>2715.9763788884834</c:v>
                </c:pt>
                <c:pt idx="13">
                  <c:v>2806.5966941323645</c:v>
                </c:pt>
                <c:pt idx="14">
                  <c:v>2902.8230938846027</c:v>
                </c:pt>
                <c:pt idx="15">
                  <c:v>3005.0145835383705</c:v>
                </c:pt>
                <c:pt idx="16">
                  <c:v>3113.250473695457</c:v>
                </c:pt>
                <c:pt idx="17">
                  <c:v>3227.513711426901</c:v>
                </c:pt>
                <c:pt idx="18">
                  <c:v>3347.8327640519888</c:v>
                </c:pt>
                <c:pt idx="19">
                  <c:v>3474.2740287796896</c:v>
                </c:pt>
                <c:pt idx="20">
                  <c:v>3606.9360761454404</c:v>
                </c:pt>
                <c:pt idx="21">
                  <c:v>3745.945288657078</c:v>
                </c:pt>
                <c:pt idx="22">
                  <c:v>3891.3656039018238</c:v>
                </c:pt>
                <c:pt idx="23">
                  <c:v>4043.4066174355944</c:v>
                </c:pt>
                <c:pt idx="24">
                  <c:v>4202.2959502096974</c:v>
                </c:pt>
                <c:pt idx="25">
                  <c:v>4368.2747376027946</c:v>
                </c:pt>
                <c:pt idx="26">
                  <c:v>4541.5968445287272</c:v>
                </c:pt>
                <c:pt idx="27">
                  <c:v>4722.5282889805867</c:v>
                </c:pt>
                <c:pt idx="28">
                  <c:v>4911.3468283127177</c:v>
                </c:pt>
                <c:pt idx="29">
                  <c:v>5108.3416742207555</c:v>
                </c:pt>
                <c:pt idx="30">
                  <c:v>5313.8133108365155</c:v>
                </c:pt>
                <c:pt idx="31">
                  <c:v>5528.0733965500558</c:v>
                </c:pt>
                <c:pt idx="32">
                  <c:v>5751.4447347540608</c:v>
                </c:pt>
                <c:pt idx="33">
                  <c:v>5984.2613021269945</c:v>
                </c:pt>
                <c:pt idx="34">
                  <c:v>6226.8683256484355</c:v>
                </c:pt>
                <c:pt idx="35">
                  <c:v>6479.6224014976951</c:v>
                </c:pt>
                <c:pt idx="36">
                  <c:v>6742.8916504866302</c:v>
                </c:pt>
                <c:pt idx="37">
                  <c:v>7016.2228548840994</c:v>
                </c:pt>
                <c:pt idx="38">
                  <c:v>7300.0057765240081</c:v>
                </c:pt>
                <c:pt idx="39">
                  <c:v>7594.6471138981051</c:v>
                </c:pt>
                <c:pt idx="40">
                  <c:v>7900.5710958136387</c:v>
                </c:pt>
                <c:pt idx="41">
                  <c:v>8218.2200970126542</c:v>
                </c:pt>
                <c:pt idx="42">
                  <c:v>8548.0552772187584</c:v>
                </c:pt>
                <c:pt idx="43">
                  <c:v>8890.5572450992513</c:v>
                </c:pt>
                <c:pt idx="44">
                  <c:v>9246.226748653371</c:v>
                </c:pt>
                <c:pt idx="45">
                  <c:v>9615.5853935612668</c:v>
                </c:pt>
                <c:pt idx="46">
                  <c:v>9999.1763910533682</c:v>
                </c:pt>
                <c:pt idx="47">
                  <c:v>10397.565336886073</c:v>
                </c:pt>
                <c:pt idx="48">
                  <c:v>10811.341023037488</c:v>
                </c:pt>
                <c:pt idx="49">
                  <c:v>11241.116283766311</c:v>
                </c:pt>
                <c:pt idx="50">
                  <c:v>11625.80054437489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0-3741-A0FE-6A7E1D247F2A}"/>
            </c:ext>
          </c:extLst>
        </c:ser>
        <c:ser>
          <c:idx val="1"/>
          <c:order val="1"/>
          <c:tx>
            <c:strRef>
              <c:f>'Consultant Baseline'!$AN$3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Baseline'!$AN$4:$AN$54</c:f>
              <c:numCache>
                <c:formatCode>0</c:formatCode>
                <c:ptCount val="51"/>
                <c:pt idx="0">
                  <c:v>-1232.2290411244717</c:v>
                </c:pt>
                <c:pt idx="1">
                  <c:v>-1088.5444522589248</c:v>
                </c:pt>
                <c:pt idx="2">
                  <c:v>-946.16802904646443</c:v>
                </c:pt>
                <c:pt idx="3">
                  <c:v>-805.19607704023861</c:v>
                </c:pt>
                <c:pt idx="4">
                  <c:v>-665.72763967227615</c:v>
                </c:pt>
                <c:pt idx="5">
                  <c:v>-527.86454335722681</c:v>
                </c:pt>
                <c:pt idx="6">
                  <c:v>-391.71144217119638</c:v>
                </c:pt>
                <c:pt idx="7">
                  <c:v>-257.37586202090029</c:v>
                </c:pt>
                <c:pt idx="8">
                  <c:v>-124.96824421306076</c:v>
                </c:pt>
                <c:pt idx="9">
                  <c:v>5.3980116716841167</c:v>
                </c:pt>
                <c:pt idx="10">
                  <c:v>133.60650570217297</c:v>
                </c:pt>
                <c:pt idx="11">
                  <c:v>259.53779642533209</c:v>
                </c:pt>
                <c:pt idx="12">
                  <c:v>383.06936071463736</c:v>
                </c:pt>
                <c:pt idx="13">
                  <c:v>504.07555475988931</c:v>
                </c:pt>
                <c:pt idx="14">
                  <c:v>622.42757632709572</c:v>
                </c:pt>
                <c:pt idx="15">
                  <c:v>738.01360857425254</c:v>
                </c:pt>
                <c:pt idx="16">
                  <c:v>850.64547051133718</c:v>
                </c:pt>
                <c:pt idx="17">
                  <c:v>960.10427282473916</c:v>
                </c:pt>
                <c:pt idx="18">
                  <c:v>1066.1757073278313</c:v>
                </c:pt>
                <c:pt idx="19">
                  <c:v>1168.6479632643545</c:v>
                </c:pt>
                <c:pt idx="20">
                  <c:v>1267.3100973359396</c:v>
                </c:pt>
                <c:pt idx="21">
                  <c:v>1361.9507476926658</c:v>
                </c:pt>
                <c:pt idx="22">
                  <c:v>1452.3353690823944</c:v>
                </c:pt>
                <c:pt idx="23">
                  <c:v>1538.2580528692013</c:v>
                </c:pt>
                <c:pt idx="24">
                  <c:v>1619.509407986875</c:v>
                </c:pt>
                <c:pt idx="25">
                  <c:v>1695.8752169687509</c:v>
                </c:pt>
                <c:pt idx="26">
                  <c:v>1767.1360180428983</c:v>
                </c:pt>
                <c:pt idx="27">
                  <c:v>1833.0667337510977</c:v>
                </c:pt>
                <c:pt idx="28">
                  <c:v>1893.4363345323027</c:v>
                </c:pt>
                <c:pt idx="29">
                  <c:v>1948.0075286227006</c:v>
                </c:pt>
                <c:pt idx="30">
                  <c:v>1996.5364717354753</c:v>
                </c:pt>
                <c:pt idx="31">
                  <c:v>2038.7724915289123</c:v>
                </c:pt>
                <c:pt idx="32">
                  <c:v>2074.45782301385</c:v>
                </c:pt>
                <c:pt idx="33">
                  <c:v>2103.3273519033123</c:v>
                </c:pt>
                <c:pt idx="34">
                  <c:v>2125.1083635479117</c:v>
                </c:pt>
                <c:pt idx="35">
                  <c:v>2139.5202955863792</c:v>
                </c:pt>
                <c:pt idx="36">
                  <c:v>2146.2744928118491</c:v>
                </c:pt>
                <c:pt idx="37">
                  <c:v>2158.3792084104971</c:v>
                </c:pt>
                <c:pt idx="38">
                  <c:v>2176.0689092676503</c:v>
                </c:pt>
                <c:pt idx="39">
                  <c:v>2199.586643478362</c:v>
                </c:pt>
                <c:pt idx="40">
                  <c:v>2229.1843078330653</c:v>
                </c:pt>
                <c:pt idx="41">
                  <c:v>2265.1229238176707</c:v>
                </c:pt>
                <c:pt idx="42">
                  <c:v>2307.6729225678901</c:v>
                </c:pt>
                <c:pt idx="43">
                  <c:v>2357.1144392248289</c:v>
                </c:pt>
                <c:pt idx="44">
                  <c:v>2413.7376171463416</c:v>
                </c:pt>
                <c:pt idx="45">
                  <c:v>2477.8429224364377</c:v>
                </c:pt>
                <c:pt idx="46">
                  <c:v>2549.7414692631169</c:v>
                </c:pt>
                <c:pt idx="47">
                  <c:v>2629.7553564434743</c:v>
                </c:pt>
                <c:pt idx="48">
                  <c:v>2718.218015783797</c:v>
                </c:pt>
                <c:pt idx="49">
                  <c:v>2815.4745726716815</c:v>
                </c:pt>
                <c:pt idx="50">
                  <c:v>2906.4501360937224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80-3741-A0FE-6A7E1D247F2A}"/>
            </c:ext>
          </c:extLst>
        </c:ser>
        <c:ser>
          <c:idx val="2"/>
          <c:order val="2"/>
          <c:tx>
            <c:strRef>
              <c:f>'Consultant Baseline'!$AO$3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Baseline'!$AO$4:$AO$54</c:f>
              <c:numCache>
                <c:formatCode>0</c:formatCode>
                <c:ptCount val="51"/>
                <c:pt idx="0">
                  <c:v>-647.58261698802869</c:v>
                </c:pt>
                <c:pt idx="1">
                  <c:v>-677.95257481829481</c:v>
                </c:pt>
                <c:pt idx="2">
                  <c:v>-703.34188222661965</c:v>
                </c:pt>
                <c:pt idx="3">
                  <c:v>-723.51919274839088</c:v>
                </c:pt>
                <c:pt idx="4">
                  <c:v>-738.24502352661989</c:v>
                </c:pt>
                <c:pt idx="5">
                  <c:v>-747.27148407887955</c:v>
                </c:pt>
                <c:pt idx="6">
                  <c:v>-750.34199579119479</c:v>
                </c:pt>
                <c:pt idx="7">
                  <c:v>-747.19100180302257</c:v>
                </c:pt>
                <c:pt idx="8">
                  <c:v>-737.54366693440841</c:v>
                </c:pt>
                <c:pt idx="9">
                  <c:v>-721.1155672929367</c:v>
                </c:pt>
                <c:pt idx="10">
                  <c:v>-697.6123691841741</c:v>
                </c:pt>
                <c:pt idx="11">
                  <c:v>-666.72949693457599</c:v>
                </c:pt>
                <c:pt idx="12">
                  <c:v>-628.15178922075609</c:v>
                </c:pt>
                <c:pt idx="13">
                  <c:v>-581.55314348314187</c:v>
                </c:pt>
                <c:pt idx="14">
                  <c:v>-526.59614798566736</c:v>
                </c:pt>
                <c:pt idx="15">
                  <c:v>-462.90183444482818</c:v>
                </c:pt>
                <c:pt idx="16">
                  <c:v>-390.18738983780645</c:v>
                </c:pt>
                <c:pt idx="17">
                  <c:v>-308.19812901806495</c:v>
                </c:pt>
                <c:pt idx="18">
                  <c:v>-216.65479803916332</c:v>
                </c:pt>
                <c:pt idx="19">
                  <c:v>-115.25617793298306</c:v>
                </c:pt>
                <c:pt idx="20">
                  <c:v>-3.6810048880433897</c:v>
                </c:pt>
                <c:pt idx="21">
                  <c:v>118.41063101720101</c:v>
                </c:pt>
                <c:pt idx="22">
                  <c:v>251.34411107406368</c:v>
                </c:pt>
                <c:pt idx="23">
                  <c:v>395.50751179294093</c:v>
                </c:pt>
                <c:pt idx="24">
                  <c:v>551.30461223225234</c:v>
                </c:pt>
                <c:pt idx="25">
                  <c:v>719.15346205588025</c:v>
                </c:pt>
                <c:pt idx="26">
                  <c:v>899.48633411002811</c:v>
                </c:pt>
                <c:pt idx="27">
                  <c:v>1092.7497601328841</c:v>
                </c:pt>
                <c:pt idx="28">
                  <c:v>1299.4046328319198</c:v>
                </c:pt>
                <c:pt idx="29">
                  <c:v>1519.9263618807129</c:v>
                </c:pt>
                <c:pt idx="30">
                  <c:v>1754.80507451944</c:v>
                </c:pt>
                <c:pt idx="31">
                  <c:v>2004.5458537391228</c:v>
                </c:pt>
                <c:pt idx="32">
                  <c:v>2269.6690087288084</c:v>
                </c:pt>
                <c:pt idx="33">
                  <c:v>2550.7103735344695</c:v>
                </c:pt>
                <c:pt idx="34">
                  <c:v>2848.2216308355428</c:v>
                </c:pt>
                <c:pt idx="35">
                  <c:v>3162.7706584732455</c:v>
                </c:pt>
                <c:pt idx="36">
                  <c:v>3244.941996923536</c:v>
                </c:pt>
                <c:pt idx="37">
                  <c:v>3326.515201379992</c:v>
                </c:pt>
                <c:pt idx="38">
                  <c:v>3407.4677367348286</c:v>
                </c:pt>
                <c:pt idx="39">
                  <c:v>3487.7783929872094</c:v>
                </c:pt>
                <c:pt idx="40">
                  <c:v>3567.4273739371124</c:v>
                </c:pt>
                <c:pt idx="41">
                  <c:v>3646.3963907432103</c:v>
                </c:pt>
                <c:pt idx="42">
                  <c:v>3724.6687608090356</c:v>
                </c:pt>
                <c:pt idx="43">
                  <c:v>3802.2295124680304</c:v>
                </c:pt>
                <c:pt idx="44">
                  <c:v>3879.0654959446965</c:v>
                </c:pt>
                <c:pt idx="45">
                  <c:v>3955.1655010760151</c:v>
                </c:pt>
                <c:pt idx="46">
                  <c:v>4030.5203822845274</c:v>
                </c:pt>
                <c:pt idx="47">
                  <c:v>4105.1231913023385</c:v>
                </c:pt>
                <c:pt idx="48">
                  <c:v>4178.969318153423</c:v>
                </c:pt>
                <c:pt idx="49">
                  <c:v>4252.0566409104886</c:v>
                </c:pt>
                <c:pt idx="50">
                  <c:v>4401.5461014187067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80-3741-A0FE-6A7E1D24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Portfolio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Baseline'!$AV$3</c:f>
              <c:strCache>
                <c:ptCount val="1"/>
                <c:pt idx="0">
                  <c:v>Stock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Baseline'!$AV$4:$AV$54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0.96804185756274164</c:v>
                </c:pt>
                <c:pt idx="15">
                  <c:v>0.9161276901768407</c:v>
                </c:pt>
                <c:pt idx="16">
                  <c:v>0.87115399208740618</c:v>
                </c:pt>
                <c:pt idx="17">
                  <c:v>0.83195782665100992</c:v>
                </c:pt>
                <c:pt idx="18">
                  <c:v>0.7976055926179465</c:v>
                </c:pt>
                <c:pt idx="19">
                  <c:v>0.76734330037160903</c:v>
                </c:pt>
                <c:pt idx="20">
                  <c:v>0.74055801560851631</c:v>
                </c:pt>
                <c:pt idx="21">
                  <c:v>0.71674808369871545</c:v>
                </c:pt>
                <c:pt idx="22">
                  <c:v>0.69550209970413324</c:v>
                </c:pt>
                <c:pt idx="23">
                  <c:v>0.67647484366370192</c:v>
                </c:pt>
                <c:pt idx="24">
                  <c:v>0.65937916805269559</c:v>
                </c:pt>
                <c:pt idx="25">
                  <c:v>0.64397454592627479</c:v>
                </c:pt>
                <c:pt idx="26">
                  <c:v>0.63005809349131314</c:v>
                </c:pt>
                <c:pt idx="27">
                  <c:v>0.61745755755689624</c:v>
                </c:pt>
                <c:pt idx="28">
                  <c:v>0.60602579211362839</c:v>
                </c:pt>
                <c:pt idx="29">
                  <c:v>0.59563637334979347</c:v>
                </c:pt>
                <c:pt idx="30">
                  <c:v>0.5861800922992132</c:v>
                </c:pt>
                <c:pt idx="31">
                  <c:v>0.57756212948609231</c:v>
                </c:pt>
                <c:pt idx="32">
                  <c:v>0.56969976359148122</c:v>
                </c:pt>
                <c:pt idx="33">
                  <c:v>0.56252050131522369</c:v>
                </c:pt>
                <c:pt idx="34">
                  <c:v>0.55596054174429177</c:v>
                </c:pt>
                <c:pt idx="35">
                  <c:v>0.54996350812929484</c:v>
                </c:pt>
                <c:pt idx="36">
                  <c:v>0.55569734277671079</c:v>
                </c:pt>
                <c:pt idx="37">
                  <c:v>0.56124766341568555</c:v>
                </c:pt>
                <c:pt idx="38">
                  <c:v>0.56661479716635754</c:v>
                </c:pt>
                <c:pt idx="39">
                  <c:v>0.57179944031975272</c:v>
                </c:pt>
                <c:pt idx="40">
                  <c:v>0.57680263336657467</c:v>
                </c:pt>
                <c:pt idx="41">
                  <c:v>0.58162573686823893</c:v>
                </c:pt>
                <c:pt idx="42">
                  <c:v>0.58627040815969156</c:v>
                </c:pt>
                <c:pt idx="43">
                  <c:v>0.59073857886816394</c:v>
                </c:pt>
                <c:pt idx="44">
                  <c:v>0.59503243322909671</c:v>
                </c:pt>
                <c:pt idx="45">
                  <c:v>0.59915438717948444</c:v>
                </c:pt>
                <c:pt idx="46">
                  <c:v>0.60310706820936766</c:v>
                </c:pt>
                <c:pt idx="47">
                  <c:v>0.6068932959537009</c:v>
                </c:pt>
                <c:pt idx="48">
                  <c:v>0.61051606350898813</c:v>
                </c:pt>
                <c:pt idx="49">
                  <c:v>0.61397851946159798</c:v>
                </c:pt>
                <c:pt idx="50">
                  <c:v>0.61402373112489017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D-7E46-90DA-71F81655E8C6}"/>
            </c:ext>
          </c:extLst>
        </c:ser>
        <c:ser>
          <c:idx val="1"/>
          <c:order val="1"/>
          <c:tx>
            <c:strRef>
              <c:f>'Consultant Baseline'!$AW$3</c:f>
              <c:strCache>
                <c:ptCount val="1"/>
                <c:pt idx="0">
                  <c:v>Bond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Baseline'!$AW$4:$AW$54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3.1958142437258343E-2</c:v>
                </c:pt>
                <c:pt idx="15">
                  <c:v>8.3872309823159311E-2</c:v>
                </c:pt>
                <c:pt idx="16">
                  <c:v>0.12884600791259379</c:v>
                </c:pt>
                <c:pt idx="17">
                  <c:v>0.16804217334899002</c:v>
                </c:pt>
                <c:pt idx="18">
                  <c:v>0.20239440738205361</c:v>
                </c:pt>
                <c:pt idx="19">
                  <c:v>0.23265669962839097</c:v>
                </c:pt>
                <c:pt idx="20">
                  <c:v>0.25944198439148358</c:v>
                </c:pt>
                <c:pt idx="21">
                  <c:v>0.26059526054922977</c:v>
                </c:pt>
                <c:pt idx="22">
                  <c:v>0.2595752754916078</c:v>
                </c:pt>
                <c:pt idx="23">
                  <c:v>0.25735548617395482</c:v>
                </c:pt>
                <c:pt idx="24">
                  <c:v>0.25411603055672738</c:v>
                </c:pt>
                <c:pt idx="25">
                  <c:v>0.25000727710510101</c:v>
                </c:pt>
                <c:pt idx="26">
                  <c:v>0.24515569932396195</c:v>
                </c:pt>
                <c:pt idx="27">
                  <c:v>0.23966842314142525</c:v>
                </c:pt>
                <c:pt idx="28">
                  <c:v>0.2336367791899305</c:v>
                </c:pt>
                <c:pt idx="29">
                  <c:v>0.22713910180722516</c:v>
                </c:pt>
                <c:pt idx="30">
                  <c:v>0.22024295262575</c:v>
                </c:pt>
                <c:pt idx="31">
                  <c:v>0.21300690082732379</c:v>
                </c:pt>
                <c:pt idx="32">
                  <c:v>0.2054819590302514</c:v>
                </c:pt>
                <c:pt idx="33">
                  <c:v>0.19771274960906859</c:v>
                </c:pt>
                <c:pt idx="34">
                  <c:v>0.18973845844739123</c:v>
                </c:pt>
                <c:pt idx="35">
                  <c:v>0.18159361990021813</c:v>
                </c:pt>
                <c:pt idx="36">
                  <c:v>0.17687945978472044</c:v>
                </c:pt>
                <c:pt idx="37">
                  <c:v>0.1726549045747777</c:v>
                </c:pt>
                <c:pt idx="38">
                  <c:v>0.16890299561267086</c:v>
                </c:pt>
                <c:pt idx="39">
                  <c:v>0.16560643211112669</c:v>
                </c:pt>
                <c:pt idx="40">
                  <c:v>0.16274764993873386</c:v>
                </c:pt>
                <c:pt idx="41">
                  <c:v>0.16030889585708355</c:v>
                </c:pt>
                <c:pt idx="42">
                  <c:v>0.15827229730469627</c:v>
                </c:pt>
                <c:pt idx="43">
                  <c:v>0.15661992782565565</c:v>
                </c:pt>
                <c:pt idx="44">
                  <c:v>0.15533386824159018</c:v>
                </c:pt>
                <c:pt idx="45">
                  <c:v>0.1543962636651891</c:v>
                </c:pt>
                <c:pt idx="46">
                  <c:v>0.15378937645254673</c:v>
                </c:pt>
                <c:pt idx="47">
                  <c:v>0.15349563519086803</c:v>
                </c:pt>
                <c:pt idx="48">
                  <c:v>0.15349767981782605</c:v>
                </c:pt>
                <c:pt idx="49">
                  <c:v>0.15377840296938525</c:v>
                </c:pt>
                <c:pt idx="50">
                  <c:v>0.15350593278122254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D-7E46-90DA-71F81655E8C6}"/>
            </c:ext>
          </c:extLst>
        </c:ser>
        <c:ser>
          <c:idx val="2"/>
          <c:order val="2"/>
          <c:tx>
            <c:strRef>
              <c:f>'Consultant Baseline'!$AX$3</c:f>
              <c:strCache>
                <c:ptCount val="1"/>
                <c:pt idx="0">
                  <c:v>Cash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Baseline'!$AX$4:$AX$54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2.2656655752054809E-2</c:v>
                </c:pt>
                <c:pt idx="22">
                  <c:v>4.4922624804258911E-2</c:v>
                </c:pt>
                <c:pt idx="23">
                  <c:v>6.616967016234325E-2</c:v>
                </c:pt>
                <c:pt idx="24">
                  <c:v>8.6504801390577091E-2</c:v>
                </c:pt>
                <c:pt idx="25">
                  <c:v>0.10601817696862423</c:v>
                </c:pt>
                <c:pt idx="26">
                  <c:v>0.12478620718472493</c:v>
                </c:pt>
                <c:pt idx="27">
                  <c:v>0.14287401930167845</c:v>
                </c:pt>
                <c:pt idx="28">
                  <c:v>0.16033742869644113</c:v>
                </c:pt>
                <c:pt idx="29">
                  <c:v>0.17722452484298137</c:v>
                </c:pt>
                <c:pt idx="30">
                  <c:v>0.19357695507503686</c:v>
                </c:pt>
                <c:pt idx="31">
                  <c:v>0.20943096968658384</c:v>
                </c:pt>
                <c:pt idx="32">
                  <c:v>0.22481827737826734</c:v>
                </c:pt>
                <c:pt idx="33">
                  <c:v>0.23976674907570769</c:v>
                </c:pt>
                <c:pt idx="34">
                  <c:v>0.25430099980831705</c:v>
                </c:pt>
                <c:pt idx="35">
                  <c:v>0.26844287197048705</c:v>
                </c:pt>
                <c:pt idx="36">
                  <c:v>0.26742319743856874</c:v>
                </c:pt>
                <c:pt idx="37">
                  <c:v>0.26609743200953673</c:v>
                </c:pt>
                <c:pt idx="38">
                  <c:v>0.2644822072209716</c:v>
                </c:pt>
                <c:pt idx="39">
                  <c:v>0.26259412756912059</c:v>
                </c:pt>
                <c:pt idx="40">
                  <c:v>0.26044971669469152</c:v>
                </c:pt>
                <c:pt idx="41">
                  <c:v>0.25806536727467755</c:v>
                </c:pt>
                <c:pt idx="42">
                  <c:v>0.25545729453561217</c:v>
                </c:pt>
                <c:pt idx="43">
                  <c:v>0.25264149330618041</c:v>
                </c:pt>
                <c:pt idx="44">
                  <c:v>0.24963369852931305</c:v>
                </c:pt>
                <c:pt idx="45">
                  <c:v>0.24644934915532649</c:v>
                </c:pt>
                <c:pt idx="46">
                  <c:v>0.24310355533808556</c:v>
                </c:pt>
                <c:pt idx="47">
                  <c:v>0.23961106885543107</c:v>
                </c:pt>
                <c:pt idx="48">
                  <c:v>0.23598625667318576</c:v>
                </c:pt>
                <c:pt idx="49">
                  <c:v>0.2322430775690168</c:v>
                </c:pt>
                <c:pt idx="50">
                  <c:v>0.23247033609388726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8D-7E46-90DA-71F81655E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Total Wealth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Baseline'!$AI$3</c:f>
              <c:strCache>
                <c:ptCount val="1"/>
                <c:pt idx="0">
                  <c:v>Target Stock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Baseline'!$AI$4:$AI$54</c:f>
              <c:numCache>
                <c:formatCode>General</c:formatCode>
                <c:ptCount val="51"/>
                <c:pt idx="0">
                  <c:v>1979.8116581125</c:v>
                </c:pt>
                <c:pt idx="1">
                  <c:v>2020.8770270772195</c:v>
                </c:pt>
                <c:pt idx="2">
                  <c:v>2065.0317552730839</c:v>
                </c:pt>
                <c:pt idx="3">
                  <c:v>2112.4369705558302</c:v>
                </c:pt>
                <c:pt idx="4">
                  <c:v>2163.2613744596993</c:v>
                </c:pt>
                <c:pt idx="5">
                  <c:v>2217.6815842501333</c:v>
                </c:pt>
                <c:pt idx="6">
                  <c:v>2275.8824901648727</c:v>
                </c:pt>
                <c:pt idx="7">
                  <c:v>2338.0576285128727</c:v>
                </c:pt>
                <c:pt idx="8">
                  <c:v>2404.4095713297952</c:v>
                </c:pt>
                <c:pt idx="9">
                  <c:v>2475.1503333195642</c:v>
                </c:pt>
                <c:pt idx="10">
                  <c:v>2550.5017968434991</c:v>
                </c:pt>
                <c:pt idx="11">
                  <c:v>2630.6961557519753</c:v>
                </c:pt>
                <c:pt idx="12">
                  <c:v>2715.9763788884834</c:v>
                </c:pt>
                <c:pt idx="13">
                  <c:v>2806.5966941323645</c:v>
                </c:pt>
                <c:pt idx="14">
                  <c:v>2902.8230938846027</c:v>
                </c:pt>
                <c:pt idx="15">
                  <c:v>3005.0145835383705</c:v>
                </c:pt>
                <c:pt idx="16">
                  <c:v>3113.250473695457</c:v>
                </c:pt>
                <c:pt idx="17">
                  <c:v>3227.513711426901</c:v>
                </c:pt>
                <c:pt idx="18">
                  <c:v>3347.8327640519888</c:v>
                </c:pt>
                <c:pt idx="19">
                  <c:v>3474.2740287796896</c:v>
                </c:pt>
                <c:pt idx="20">
                  <c:v>3606.9360761454404</c:v>
                </c:pt>
                <c:pt idx="21">
                  <c:v>3745.945288657078</c:v>
                </c:pt>
                <c:pt idx="22">
                  <c:v>3891.3656039018238</c:v>
                </c:pt>
                <c:pt idx="23">
                  <c:v>4043.4066174355944</c:v>
                </c:pt>
                <c:pt idx="24">
                  <c:v>4202.2959502096974</c:v>
                </c:pt>
                <c:pt idx="25">
                  <c:v>4368.2747376027946</c:v>
                </c:pt>
                <c:pt idx="26">
                  <c:v>4541.5968445287272</c:v>
                </c:pt>
                <c:pt idx="27">
                  <c:v>4722.5282889805867</c:v>
                </c:pt>
                <c:pt idx="28">
                  <c:v>4911.3468283127177</c:v>
                </c:pt>
                <c:pt idx="29">
                  <c:v>5108.3416742207555</c:v>
                </c:pt>
                <c:pt idx="30">
                  <c:v>5313.8133108365155</c:v>
                </c:pt>
                <c:pt idx="31">
                  <c:v>5528.0733965500558</c:v>
                </c:pt>
                <c:pt idx="32">
                  <c:v>5751.4447347540608</c:v>
                </c:pt>
                <c:pt idx="33">
                  <c:v>5984.2613021269945</c:v>
                </c:pt>
                <c:pt idx="34">
                  <c:v>6226.8683256484355</c:v>
                </c:pt>
                <c:pt idx="35">
                  <c:v>6479.6224014976951</c:v>
                </c:pt>
                <c:pt idx="36">
                  <c:v>6742.8916504866302</c:v>
                </c:pt>
                <c:pt idx="37">
                  <c:v>7016.2228548840994</c:v>
                </c:pt>
                <c:pt idx="38">
                  <c:v>7300.0057765240081</c:v>
                </c:pt>
                <c:pt idx="39">
                  <c:v>7594.6471138981051</c:v>
                </c:pt>
                <c:pt idx="40">
                  <c:v>7900.5710958136387</c:v>
                </c:pt>
                <c:pt idx="41">
                  <c:v>8218.2200970126542</c:v>
                </c:pt>
                <c:pt idx="42">
                  <c:v>8548.0552772187584</c:v>
                </c:pt>
                <c:pt idx="43">
                  <c:v>8890.5572450992513</c:v>
                </c:pt>
                <c:pt idx="44">
                  <c:v>9246.226748653371</c:v>
                </c:pt>
                <c:pt idx="45">
                  <c:v>9615.5853935612668</c:v>
                </c:pt>
                <c:pt idx="46">
                  <c:v>9999.1763910533682</c:v>
                </c:pt>
                <c:pt idx="47">
                  <c:v>10397.565336886073</c:v>
                </c:pt>
                <c:pt idx="48">
                  <c:v>10811.341023037488</c:v>
                </c:pt>
                <c:pt idx="49">
                  <c:v>11241.116283766311</c:v>
                </c:pt>
                <c:pt idx="50">
                  <c:v>11625.80054437489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8-AF43-9514-4A50F062394D}"/>
            </c:ext>
          </c:extLst>
        </c:ser>
        <c:ser>
          <c:idx val="1"/>
          <c:order val="1"/>
          <c:tx>
            <c:strRef>
              <c:f>'Consultant Baseline'!$AJ$3</c:f>
              <c:strCache>
                <c:ptCount val="1"/>
                <c:pt idx="0">
                  <c:v>Target Bond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Baseline'!$AJ$4:$AJ$54</c:f>
              <c:numCache>
                <c:formatCode>General</c:formatCode>
                <c:ptCount val="51"/>
                <c:pt idx="0">
                  <c:v>494.95291452812501</c:v>
                </c:pt>
                <c:pt idx="1">
                  <c:v>505.21925676930488</c:v>
                </c:pt>
                <c:pt idx="2">
                  <c:v>516.25793881827099</c:v>
                </c:pt>
                <c:pt idx="3">
                  <c:v>528.10924263895754</c:v>
                </c:pt>
                <c:pt idx="4">
                  <c:v>540.81534361492481</c:v>
                </c:pt>
                <c:pt idx="5">
                  <c:v>554.42039606253331</c:v>
                </c:pt>
                <c:pt idx="6">
                  <c:v>568.97062254121818</c:v>
                </c:pt>
                <c:pt idx="7">
                  <c:v>584.51440712821818</c:v>
                </c:pt>
                <c:pt idx="8">
                  <c:v>601.1023928324488</c:v>
                </c:pt>
                <c:pt idx="9">
                  <c:v>618.78758332989105</c:v>
                </c:pt>
                <c:pt idx="10">
                  <c:v>637.62544921087476</c:v>
                </c:pt>
                <c:pt idx="11">
                  <c:v>657.67403893799383</c:v>
                </c:pt>
                <c:pt idx="12">
                  <c:v>678.99409472212085</c:v>
                </c:pt>
                <c:pt idx="13">
                  <c:v>701.64917353309113</c:v>
                </c:pt>
                <c:pt idx="14">
                  <c:v>725.70577347115068</c:v>
                </c:pt>
                <c:pt idx="15">
                  <c:v>751.25364588459263</c:v>
                </c:pt>
                <c:pt idx="16">
                  <c:v>778.31261842386425</c:v>
                </c:pt>
                <c:pt idx="17">
                  <c:v>806.87842785672524</c:v>
                </c:pt>
                <c:pt idx="18">
                  <c:v>836.95819101299719</c:v>
                </c:pt>
                <c:pt idx="19">
                  <c:v>868.5685071949224</c:v>
                </c:pt>
                <c:pt idx="20">
                  <c:v>901.73401903636011</c:v>
                </c:pt>
                <c:pt idx="21">
                  <c:v>936.4863221642695</c:v>
                </c:pt>
                <c:pt idx="22">
                  <c:v>972.84140097545594</c:v>
                </c:pt>
                <c:pt idx="23">
                  <c:v>1010.8516543588986</c:v>
                </c:pt>
                <c:pt idx="24">
                  <c:v>1050.5739875524243</c:v>
                </c:pt>
                <c:pt idx="25">
                  <c:v>1092.0686844006987</c:v>
                </c:pt>
                <c:pt idx="26">
                  <c:v>1135.3992111321818</c:v>
                </c:pt>
                <c:pt idx="27">
                  <c:v>1180.6320722451467</c:v>
                </c:pt>
                <c:pt idx="28">
                  <c:v>1227.8367070781794</c:v>
                </c:pt>
                <c:pt idx="29">
                  <c:v>1277.0854185551889</c:v>
                </c:pt>
                <c:pt idx="30">
                  <c:v>1328.4533277091289</c:v>
                </c:pt>
                <c:pt idx="31">
                  <c:v>1382.018349137514</c:v>
                </c:pt>
                <c:pt idx="32">
                  <c:v>1437.8611836885152</c:v>
                </c:pt>
                <c:pt idx="33">
                  <c:v>1496.0653255317486</c:v>
                </c:pt>
                <c:pt idx="34">
                  <c:v>1556.7170814121089</c:v>
                </c:pt>
                <c:pt idx="35">
                  <c:v>1619.9056003744238</c:v>
                </c:pt>
                <c:pt idx="36">
                  <c:v>1685.7229126216575</c:v>
                </c:pt>
                <c:pt idx="37">
                  <c:v>1754.0557137210249</c:v>
                </c:pt>
                <c:pt idx="38">
                  <c:v>1825.001444131002</c:v>
                </c:pt>
                <c:pt idx="39">
                  <c:v>1898.6617784745263</c:v>
                </c:pt>
                <c:pt idx="40">
                  <c:v>1975.1427739534097</c:v>
                </c:pt>
                <c:pt idx="41">
                  <c:v>2054.5550242531635</c:v>
                </c:pt>
                <c:pt idx="42">
                  <c:v>2137.0138193046896</c:v>
                </c:pt>
                <c:pt idx="43">
                  <c:v>2222.6393112748128</c:v>
                </c:pt>
                <c:pt idx="44">
                  <c:v>2311.5566871633428</c:v>
                </c:pt>
                <c:pt idx="45">
                  <c:v>2403.8963483903167</c:v>
                </c:pt>
                <c:pt idx="46">
                  <c:v>2499.7940977633421</c:v>
                </c:pt>
                <c:pt idx="47">
                  <c:v>2599.3913342215183</c:v>
                </c:pt>
                <c:pt idx="48">
                  <c:v>2702.8352557593721</c:v>
                </c:pt>
                <c:pt idx="49">
                  <c:v>2810.2790709415776</c:v>
                </c:pt>
                <c:pt idx="50">
                  <c:v>2906.4501360937224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8-AF43-9514-4A50F062394D}"/>
            </c:ext>
          </c:extLst>
        </c:ser>
        <c:ser>
          <c:idx val="2"/>
          <c:order val="2"/>
          <c:tx>
            <c:strRef>
              <c:f>'Consultant Baseline'!$AK$3</c:f>
              <c:strCache>
                <c:ptCount val="1"/>
                <c:pt idx="0">
                  <c:v>Target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Baseline'!$AK$4:$AK$54</c:f>
              <c:numCache>
                <c:formatCode>0</c:formatCode>
                <c:ptCount val="51"/>
                <c:pt idx="0">
                  <c:v>732.53031350162462</c:v>
                </c:pt>
                <c:pt idx="1">
                  <c:v>747.72450001857078</c:v>
                </c:pt>
                <c:pt idx="2">
                  <c:v>764.0617494510409</c:v>
                </c:pt>
                <c:pt idx="3">
                  <c:v>781.60167910565656</c:v>
                </c:pt>
                <c:pt idx="4">
                  <c:v>800.40670855008852</c:v>
                </c:pt>
                <c:pt idx="5">
                  <c:v>820.5421861725489</c:v>
                </c:pt>
                <c:pt idx="6">
                  <c:v>842.07652136100262</c:v>
                </c:pt>
                <c:pt idx="7">
                  <c:v>865.08132254976249</c:v>
                </c:pt>
                <c:pt idx="8">
                  <c:v>889.63154139202345</c:v>
                </c:pt>
                <c:pt idx="9">
                  <c:v>915.80562332823797</c:v>
                </c:pt>
                <c:pt idx="10">
                  <c:v>943.68566483209395</c:v>
                </c:pt>
                <c:pt idx="11">
                  <c:v>973.3575776282305</c:v>
                </c:pt>
                <c:pt idx="12">
                  <c:v>1004.9112601887381</c:v>
                </c:pt>
                <c:pt idx="13">
                  <c:v>1038.4407768289743</c:v>
                </c:pt>
                <c:pt idx="14">
                  <c:v>1074.0445447373022</c:v>
                </c:pt>
                <c:pt idx="15">
                  <c:v>1111.8553959091964</c:v>
                </c:pt>
                <c:pt idx="16">
                  <c:v>1151.9026752673183</c:v>
                </c:pt>
                <c:pt idx="17">
                  <c:v>1194.1800732279528</c:v>
                </c:pt>
                <c:pt idx="18">
                  <c:v>1238.6981226992352</c:v>
                </c:pt>
                <c:pt idx="19">
                  <c:v>1285.4813906484846</c:v>
                </c:pt>
                <c:pt idx="20">
                  <c:v>1334.5663481738125</c:v>
                </c:pt>
                <c:pt idx="21">
                  <c:v>1385.9997568031181</c:v>
                </c:pt>
                <c:pt idx="22">
                  <c:v>1439.8052734436737</c:v>
                </c:pt>
                <c:pt idx="23">
                  <c:v>1496.0604484511691</c:v>
                </c:pt>
                <c:pt idx="24">
                  <c:v>1554.8495015775868</c:v>
                </c:pt>
                <c:pt idx="25">
                  <c:v>1616.2616529130337</c:v>
                </c:pt>
                <c:pt idx="26">
                  <c:v>1680.390832475628</c:v>
                </c:pt>
                <c:pt idx="27">
                  <c:v>1747.3354669228163</c:v>
                </c:pt>
                <c:pt idx="28">
                  <c:v>1817.1983264757039</c:v>
                </c:pt>
                <c:pt idx="29">
                  <c:v>1890.0864194616788</c:v>
                </c:pt>
                <c:pt idx="30">
                  <c:v>1966.1109250095094</c:v>
                </c:pt>
                <c:pt idx="31">
                  <c:v>2045.387156723519</c:v>
                </c:pt>
                <c:pt idx="32">
                  <c:v>2128.0345518590007</c:v>
                </c:pt>
                <c:pt idx="33">
                  <c:v>2214.1766817869875</c:v>
                </c:pt>
                <c:pt idx="34">
                  <c:v>2303.9412804899193</c:v>
                </c:pt>
                <c:pt idx="35">
                  <c:v>2397.4602885541462</c:v>
                </c:pt>
                <c:pt idx="36">
                  <c:v>2494.8699106800518</c:v>
                </c:pt>
                <c:pt idx="37">
                  <c:v>2596.0024563071152</c:v>
                </c:pt>
                <c:pt idx="38">
                  <c:v>2701.0021373138807</c:v>
                </c:pt>
                <c:pt idx="39">
                  <c:v>2810.0194321422973</c:v>
                </c:pt>
                <c:pt idx="40">
                  <c:v>2923.2113054510451</c:v>
                </c:pt>
                <c:pt idx="41">
                  <c:v>3040.7414358946799</c:v>
                </c:pt>
                <c:pt idx="42">
                  <c:v>3162.780452570938</c:v>
                </c:pt>
                <c:pt idx="43">
                  <c:v>3289.5061806867225</c:v>
                </c:pt>
                <c:pt idx="44">
                  <c:v>3421.1038970017444</c:v>
                </c:pt>
                <c:pt idx="45">
                  <c:v>3557.7665956176666</c:v>
                </c:pt>
                <c:pt idx="46">
                  <c:v>3699.695264689743</c:v>
                </c:pt>
                <c:pt idx="47">
                  <c:v>3847.0991746478448</c:v>
                </c:pt>
                <c:pt idx="48">
                  <c:v>4000.1961785238686</c:v>
                </c:pt>
                <c:pt idx="49">
                  <c:v>4159.2130249935335</c:v>
                </c:pt>
                <c:pt idx="50">
                  <c:v>4301.5462014187069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88-AF43-9514-4A50F0623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Baseline'!$AM$4:$AM$54</c:f>
              <c:numCache>
                <c:formatCode>General</c:formatCode>
                <c:ptCount val="51"/>
                <c:pt idx="0">
                  <c:v>1979.8116581125</c:v>
                </c:pt>
                <c:pt idx="1">
                  <c:v>2020.8770270772195</c:v>
                </c:pt>
                <c:pt idx="2">
                  <c:v>2065.0317552730839</c:v>
                </c:pt>
                <c:pt idx="3">
                  <c:v>2112.4369705558302</c:v>
                </c:pt>
                <c:pt idx="4">
                  <c:v>2163.2613744596993</c:v>
                </c:pt>
                <c:pt idx="5">
                  <c:v>2217.6815842501333</c:v>
                </c:pt>
                <c:pt idx="6">
                  <c:v>2275.8824901648727</c:v>
                </c:pt>
                <c:pt idx="7">
                  <c:v>2338.0576285128727</c:v>
                </c:pt>
                <c:pt idx="8">
                  <c:v>2404.4095713297952</c:v>
                </c:pt>
                <c:pt idx="9">
                  <c:v>2475.1503333195642</c:v>
                </c:pt>
                <c:pt idx="10">
                  <c:v>2550.5017968434991</c:v>
                </c:pt>
                <c:pt idx="11">
                  <c:v>2630.6961557519753</c:v>
                </c:pt>
                <c:pt idx="12">
                  <c:v>2715.9763788884834</c:v>
                </c:pt>
                <c:pt idx="13">
                  <c:v>2806.5966941323645</c:v>
                </c:pt>
                <c:pt idx="14">
                  <c:v>2902.8230938846027</c:v>
                </c:pt>
                <c:pt idx="15">
                  <c:v>3005.0145835383705</c:v>
                </c:pt>
                <c:pt idx="16">
                  <c:v>3113.250473695457</c:v>
                </c:pt>
                <c:pt idx="17">
                  <c:v>3227.513711426901</c:v>
                </c:pt>
                <c:pt idx="18">
                  <c:v>3347.8327640519888</c:v>
                </c:pt>
                <c:pt idx="19">
                  <c:v>3474.2740287796896</c:v>
                </c:pt>
                <c:pt idx="20">
                  <c:v>3606.9360761454404</c:v>
                </c:pt>
                <c:pt idx="21">
                  <c:v>3745.945288657078</c:v>
                </c:pt>
                <c:pt idx="22">
                  <c:v>3891.3656039018238</c:v>
                </c:pt>
                <c:pt idx="23">
                  <c:v>4043.4066174355944</c:v>
                </c:pt>
                <c:pt idx="24">
                  <c:v>4202.2959502096974</c:v>
                </c:pt>
                <c:pt idx="25">
                  <c:v>4368.2747376027946</c:v>
                </c:pt>
                <c:pt idx="26">
                  <c:v>4541.5968445287272</c:v>
                </c:pt>
                <c:pt idx="27">
                  <c:v>4722.5282889805867</c:v>
                </c:pt>
                <c:pt idx="28">
                  <c:v>4911.3468283127177</c:v>
                </c:pt>
                <c:pt idx="29">
                  <c:v>5108.3416742207555</c:v>
                </c:pt>
                <c:pt idx="30">
                  <c:v>5313.8133108365155</c:v>
                </c:pt>
                <c:pt idx="31">
                  <c:v>5528.0733965500558</c:v>
                </c:pt>
                <c:pt idx="32">
                  <c:v>5751.4447347540608</c:v>
                </c:pt>
                <c:pt idx="33">
                  <c:v>5984.2613021269945</c:v>
                </c:pt>
                <c:pt idx="34">
                  <c:v>6226.8683256484355</c:v>
                </c:pt>
                <c:pt idx="35">
                  <c:v>6479.6224014976951</c:v>
                </c:pt>
                <c:pt idx="36">
                  <c:v>6742.8916504866302</c:v>
                </c:pt>
                <c:pt idx="37">
                  <c:v>7016.2228548840994</c:v>
                </c:pt>
                <c:pt idx="38">
                  <c:v>7300.0057765240081</c:v>
                </c:pt>
                <c:pt idx="39">
                  <c:v>7594.6471138981051</c:v>
                </c:pt>
                <c:pt idx="40">
                  <c:v>7900.5710958136387</c:v>
                </c:pt>
                <c:pt idx="41">
                  <c:v>8218.2200970126542</c:v>
                </c:pt>
                <c:pt idx="42">
                  <c:v>8548.0552772187584</c:v>
                </c:pt>
                <c:pt idx="43">
                  <c:v>8890.5572450992513</c:v>
                </c:pt>
                <c:pt idx="44">
                  <c:v>9246.226748653371</c:v>
                </c:pt>
                <c:pt idx="45">
                  <c:v>9615.5853935612668</c:v>
                </c:pt>
                <c:pt idx="46">
                  <c:v>9999.1763910533682</c:v>
                </c:pt>
                <c:pt idx="47">
                  <c:v>10397.565336886073</c:v>
                </c:pt>
                <c:pt idx="48">
                  <c:v>10811.341023037488</c:v>
                </c:pt>
                <c:pt idx="49">
                  <c:v>11241.116283766311</c:v>
                </c:pt>
                <c:pt idx="50">
                  <c:v>11625.80054437489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3-A940-B185-5CEEAEDE7E93}"/>
            </c:ext>
          </c:extLst>
        </c:ser>
        <c:ser>
          <c:idx val="1"/>
          <c:order val="1"/>
          <c:tx>
            <c:strRef>
              <c:f>'Consultant Baseline'!$AN$3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Baseline'!$AN$4:$AN$54</c:f>
              <c:numCache>
                <c:formatCode>0</c:formatCode>
                <c:ptCount val="51"/>
                <c:pt idx="0">
                  <c:v>-1232.2290411244717</c:v>
                </c:pt>
                <c:pt idx="1">
                  <c:v>-1088.5444522589248</c:v>
                </c:pt>
                <c:pt idx="2">
                  <c:v>-946.16802904646443</c:v>
                </c:pt>
                <c:pt idx="3">
                  <c:v>-805.19607704023861</c:v>
                </c:pt>
                <c:pt idx="4">
                  <c:v>-665.72763967227615</c:v>
                </c:pt>
                <c:pt idx="5">
                  <c:v>-527.86454335722681</c:v>
                </c:pt>
                <c:pt idx="6">
                  <c:v>-391.71144217119638</c:v>
                </c:pt>
                <c:pt idx="7">
                  <c:v>-257.37586202090029</c:v>
                </c:pt>
                <c:pt idx="8">
                  <c:v>-124.96824421306076</c:v>
                </c:pt>
                <c:pt idx="9">
                  <c:v>5.3980116716841167</c:v>
                </c:pt>
                <c:pt idx="10">
                  <c:v>133.60650570217297</c:v>
                </c:pt>
                <c:pt idx="11">
                  <c:v>259.53779642533209</c:v>
                </c:pt>
                <c:pt idx="12">
                  <c:v>383.06936071463736</c:v>
                </c:pt>
                <c:pt idx="13">
                  <c:v>504.07555475988931</c:v>
                </c:pt>
                <c:pt idx="14">
                  <c:v>622.42757632709572</c:v>
                </c:pt>
                <c:pt idx="15">
                  <c:v>738.01360857425254</c:v>
                </c:pt>
                <c:pt idx="16">
                  <c:v>850.64547051133718</c:v>
                </c:pt>
                <c:pt idx="17">
                  <c:v>960.10427282473916</c:v>
                </c:pt>
                <c:pt idx="18">
                  <c:v>1066.1757073278313</c:v>
                </c:pt>
                <c:pt idx="19">
                  <c:v>1168.6479632643545</c:v>
                </c:pt>
                <c:pt idx="20">
                  <c:v>1267.3100973359396</c:v>
                </c:pt>
                <c:pt idx="21">
                  <c:v>1361.9507476926658</c:v>
                </c:pt>
                <c:pt idx="22">
                  <c:v>1452.3353690823944</c:v>
                </c:pt>
                <c:pt idx="23">
                  <c:v>1538.2580528692013</c:v>
                </c:pt>
                <c:pt idx="24">
                  <c:v>1619.509407986875</c:v>
                </c:pt>
                <c:pt idx="25">
                  <c:v>1695.8752169687509</c:v>
                </c:pt>
                <c:pt idx="26">
                  <c:v>1767.1360180428983</c:v>
                </c:pt>
                <c:pt idx="27">
                  <c:v>1833.0667337510977</c:v>
                </c:pt>
                <c:pt idx="28">
                  <c:v>1893.4363345323027</c:v>
                </c:pt>
                <c:pt idx="29">
                  <c:v>1948.0075286227006</c:v>
                </c:pt>
                <c:pt idx="30">
                  <c:v>1996.5364717354753</c:v>
                </c:pt>
                <c:pt idx="31">
                  <c:v>2038.7724915289123</c:v>
                </c:pt>
                <c:pt idx="32">
                  <c:v>2074.45782301385</c:v>
                </c:pt>
                <c:pt idx="33">
                  <c:v>2103.3273519033123</c:v>
                </c:pt>
                <c:pt idx="34">
                  <c:v>2125.1083635479117</c:v>
                </c:pt>
                <c:pt idx="35">
                  <c:v>2139.5202955863792</c:v>
                </c:pt>
                <c:pt idx="36">
                  <c:v>2146.2744928118491</c:v>
                </c:pt>
                <c:pt idx="37">
                  <c:v>2158.3792084104971</c:v>
                </c:pt>
                <c:pt idx="38">
                  <c:v>2176.0689092676503</c:v>
                </c:pt>
                <c:pt idx="39">
                  <c:v>2199.586643478362</c:v>
                </c:pt>
                <c:pt idx="40">
                  <c:v>2229.1843078330653</c:v>
                </c:pt>
                <c:pt idx="41">
                  <c:v>2265.1229238176707</c:v>
                </c:pt>
                <c:pt idx="42">
                  <c:v>2307.6729225678901</c:v>
                </c:pt>
                <c:pt idx="43">
                  <c:v>2357.1144392248289</c:v>
                </c:pt>
                <c:pt idx="44">
                  <c:v>2413.7376171463416</c:v>
                </c:pt>
                <c:pt idx="45">
                  <c:v>2477.8429224364377</c:v>
                </c:pt>
                <c:pt idx="46">
                  <c:v>2549.7414692631169</c:v>
                </c:pt>
                <c:pt idx="47">
                  <c:v>2629.7553564434743</c:v>
                </c:pt>
                <c:pt idx="48">
                  <c:v>2718.218015783797</c:v>
                </c:pt>
                <c:pt idx="49">
                  <c:v>2815.4745726716815</c:v>
                </c:pt>
                <c:pt idx="50">
                  <c:v>2906.4501360937224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23-A940-B185-5CEEAEDE7E93}"/>
            </c:ext>
          </c:extLst>
        </c:ser>
        <c:ser>
          <c:idx val="2"/>
          <c:order val="2"/>
          <c:tx>
            <c:strRef>
              <c:f>'Consultant Baseline'!$AO$3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'Consultant Baseline'!$AO$4:$AO$54</c:f>
              <c:numCache>
                <c:formatCode>0</c:formatCode>
                <c:ptCount val="51"/>
                <c:pt idx="0">
                  <c:v>-647.58261698802869</c:v>
                </c:pt>
                <c:pt idx="1">
                  <c:v>-677.95257481829481</c:v>
                </c:pt>
                <c:pt idx="2">
                  <c:v>-703.34188222661965</c:v>
                </c:pt>
                <c:pt idx="3">
                  <c:v>-723.51919274839088</c:v>
                </c:pt>
                <c:pt idx="4">
                  <c:v>-738.24502352661989</c:v>
                </c:pt>
                <c:pt idx="5">
                  <c:v>-747.27148407887955</c:v>
                </c:pt>
                <c:pt idx="6">
                  <c:v>-750.34199579119479</c:v>
                </c:pt>
                <c:pt idx="7">
                  <c:v>-747.19100180302257</c:v>
                </c:pt>
                <c:pt idx="8">
                  <c:v>-737.54366693440841</c:v>
                </c:pt>
                <c:pt idx="9">
                  <c:v>-721.1155672929367</c:v>
                </c:pt>
                <c:pt idx="10">
                  <c:v>-697.6123691841741</c:v>
                </c:pt>
                <c:pt idx="11">
                  <c:v>-666.72949693457599</c:v>
                </c:pt>
                <c:pt idx="12">
                  <c:v>-628.15178922075609</c:v>
                </c:pt>
                <c:pt idx="13">
                  <c:v>-581.55314348314187</c:v>
                </c:pt>
                <c:pt idx="14">
                  <c:v>-526.59614798566736</c:v>
                </c:pt>
                <c:pt idx="15">
                  <c:v>-462.90183444482818</c:v>
                </c:pt>
                <c:pt idx="16">
                  <c:v>-390.18738983780645</c:v>
                </c:pt>
                <c:pt idx="17">
                  <c:v>-308.19812901806495</c:v>
                </c:pt>
                <c:pt idx="18">
                  <c:v>-216.65479803916332</c:v>
                </c:pt>
                <c:pt idx="19">
                  <c:v>-115.25617793298306</c:v>
                </c:pt>
                <c:pt idx="20">
                  <c:v>-3.6810048880433897</c:v>
                </c:pt>
                <c:pt idx="21">
                  <c:v>118.41063101720101</c:v>
                </c:pt>
                <c:pt idx="22">
                  <c:v>251.34411107406368</c:v>
                </c:pt>
                <c:pt idx="23">
                  <c:v>395.50751179294093</c:v>
                </c:pt>
                <c:pt idx="24">
                  <c:v>551.30461223225234</c:v>
                </c:pt>
                <c:pt idx="25">
                  <c:v>719.15346205588025</c:v>
                </c:pt>
                <c:pt idx="26">
                  <c:v>899.48633411002811</c:v>
                </c:pt>
                <c:pt idx="27">
                  <c:v>1092.7497601328841</c:v>
                </c:pt>
                <c:pt idx="28">
                  <c:v>1299.4046328319198</c:v>
                </c:pt>
                <c:pt idx="29">
                  <c:v>1519.9263618807129</c:v>
                </c:pt>
                <c:pt idx="30">
                  <c:v>1754.80507451944</c:v>
                </c:pt>
                <c:pt idx="31">
                  <c:v>2004.5458537391228</c:v>
                </c:pt>
                <c:pt idx="32">
                  <c:v>2269.6690087288084</c:v>
                </c:pt>
                <c:pt idx="33">
                  <c:v>2550.7103735344695</c:v>
                </c:pt>
                <c:pt idx="34">
                  <c:v>2848.2216308355428</c:v>
                </c:pt>
                <c:pt idx="35">
                  <c:v>3162.7706584732455</c:v>
                </c:pt>
                <c:pt idx="36">
                  <c:v>3244.941996923536</c:v>
                </c:pt>
                <c:pt idx="37">
                  <c:v>3326.515201379992</c:v>
                </c:pt>
                <c:pt idx="38">
                  <c:v>3407.4677367348286</c:v>
                </c:pt>
                <c:pt idx="39">
                  <c:v>3487.7783929872094</c:v>
                </c:pt>
                <c:pt idx="40">
                  <c:v>3567.4273739371124</c:v>
                </c:pt>
                <c:pt idx="41">
                  <c:v>3646.3963907432103</c:v>
                </c:pt>
                <c:pt idx="42">
                  <c:v>3724.6687608090356</c:v>
                </c:pt>
                <c:pt idx="43">
                  <c:v>3802.2295124680304</c:v>
                </c:pt>
                <c:pt idx="44">
                  <c:v>3879.0654959446965</c:v>
                </c:pt>
                <c:pt idx="45">
                  <c:v>3955.1655010760151</c:v>
                </c:pt>
                <c:pt idx="46">
                  <c:v>4030.5203822845274</c:v>
                </c:pt>
                <c:pt idx="47">
                  <c:v>4105.1231913023385</c:v>
                </c:pt>
                <c:pt idx="48">
                  <c:v>4178.969318153423</c:v>
                </c:pt>
                <c:pt idx="49">
                  <c:v>4252.0566409104886</c:v>
                </c:pt>
                <c:pt idx="50">
                  <c:v>4401.5461014187067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23-A940-B185-5CEEAEDE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 at Beginning of Life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'Consultant Baseline'!$AM$3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'Consultant Baseline'!$H$4:$H$14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'Consultant Baseline'!$AM$4:$AM$14</c:f>
              <c:numCache>
                <c:formatCode>General</c:formatCode>
                <c:ptCount val="11"/>
                <c:pt idx="0">
                  <c:v>1979.8116581125</c:v>
                </c:pt>
                <c:pt idx="1">
                  <c:v>2020.8770270772195</c:v>
                </c:pt>
                <c:pt idx="2">
                  <c:v>2065.0317552730839</c:v>
                </c:pt>
                <c:pt idx="3">
                  <c:v>2112.4369705558302</c:v>
                </c:pt>
                <c:pt idx="4">
                  <c:v>2163.2613744596993</c:v>
                </c:pt>
                <c:pt idx="5">
                  <c:v>2217.6815842501333</c:v>
                </c:pt>
                <c:pt idx="6">
                  <c:v>2275.8824901648727</c:v>
                </c:pt>
                <c:pt idx="7">
                  <c:v>2338.0576285128727</c:v>
                </c:pt>
                <c:pt idx="8">
                  <c:v>2404.4095713297952</c:v>
                </c:pt>
                <c:pt idx="9">
                  <c:v>2475.1503333195642</c:v>
                </c:pt>
                <c:pt idx="10">
                  <c:v>2550.5017968434991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E-5242-AD3B-5D576C6097AB}"/>
            </c:ext>
          </c:extLst>
        </c:ser>
        <c:ser>
          <c:idx val="1"/>
          <c:order val="1"/>
          <c:tx>
            <c:strRef>
              <c:f>'Consultant Baseline'!$AN$3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'Consultant Baseline'!$H$4:$H$14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'Consultant Baseline'!$AN$4:$AN$14</c:f>
              <c:numCache>
                <c:formatCode>0</c:formatCode>
                <c:ptCount val="11"/>
                <c:pt idx="0">
                  <c:v>-1232.2290411244717</c:v>
                </c:pt>
                <c:pt idx="1">
                  <c:v>-1088.5444522589248</c:v>
                </c:pt>
                <c:pt idx="2">
                  <c:v>-946.16802904646443</c:v>
                </c:pt>
                <c:pt idx="3">
                  <c:v>-805.19607704023861</c:v>
                </c:pt>
                <c:pt idx="4">
                  <c:v>-665.72763967227615</c:v>
                </c:pt>
                <c:pt idx="5">
                  <c:v>-527.86454335722681</c:v>
                </c:pt>
                <c:pt idx="6">
                  <c:v>-391.71144217119638</c:v>
                </c:pt>
                <c:pt idx="7">
                  <c:v>-257.37586202090029</c:v>
                </c:pt>
                <c:pt idx="8">
                  <c:v>-124.96824421306076</c:v>
                </c:pt>
                <c:pt idx="9">
                  <c:v>5.3980116716841167</c:v>
                </c:pt>
                <c:pt idx="10">
                  <c:v>133.60650570217297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E-5242-AD3B-5D576C6097AB}"/>
            </c:ext>
          </c:extLst>
        </c:ser>
        <c:ser>
          <c:idx val="2"/>
          <c:order val="2"/>
          <c:tx>
            <c:strRef>
              <c:f>'Consultant Baseline'!$AO$3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'Consultant Baseline'!$H$4:$H$14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'Consultant Baseline'!$AO$4:$AO$14</c:f>
              <c:numCache>
                <c:formatCode>0</c:formatCode>
                <c:ptCount val="11"/>
                <c:pt idx="0">
                  <c:v>-647.58261698802869</c:v>
                </c:pt>
                <c:pt idx="1">
                  <c:v>-677.95257481829481</c:v>
                </c:pt>
                <c:pt idx="2">
                  <c:v>-703.34188222661965</c:v>
                </c:pt>
                <c:pt idx="3">
                  <c:v>-723.51919274839088</c:v>
                </c:pt>
                <c:pt idx="4">
                  <c:v>-738.24502352661989</c:v>
                </c:pt>
                <c:pt idx="5">
                  <c:v>-747.27148407887955</c:v>
                </c:pt>
                <c:pt idx="6">
                  <c:v>-750.34199579119479</c:v>
                </c:pt>
                <c:pt idx="7">
                  <c:v>-747.19100180302257</c:v>
                </c:pt>
                <c:pt idx="8">
                  <c:v>-737.54366693440841</c:v>
                </c:pt>
                <c:pt idx="9">
                  <c:v>-721.1155672929367</c:v>
                </c:pt>
                <c:pt idx="10">
                  <c:v>-697.6123691841741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E-5242-AD3B-5D576C609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Profile of Earnings, Pensions, and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Mortgage!$I$3</c:f>
              <c:strCache>
                <c:ptCount val="1"/>
                <c:pt idx="0">
                  <c:v>Wages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Mortgage!$I$4:$I$54</c:f>
              <c:numCache>
                <c:formatCode>General</c:formatCode>
                <c:ptCount val="51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9-554C-811D-68A0D4D9C76F}"/>
            </c:ext>
          </c:extLst>
        </c:ser>
        <c:ser>
          <c:idx val="1"/>
          <c:order val="1"/>
          <c:tx>
            <c:strRef>
              <c:f>Mortgage!$J$3</c:f>
              <c:strCache>
                <c:ptCount val="1"/>
                <c:pt idx="0">
                  <c:v>Pension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Mortgage!$J$4:$J$54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1E-4</c:v>
                </c:pt>
                <c:pt idx="37">
                  <c:v>1E-4</c:v>
                </c:pt>
                <c:pt idx="38">
                  <c:v>1E-4</c:v>
                </c:pt>
                <c:pt idx="39">
                  <c:v>1E-4</c:v>
                </c:pt>
                <c:pt idx="40">
                  <c:v>1E-4</c:v>
                </c:pt>
                <c:pt idx="41">
                  <c:v>1E-4</c:v>
                </c:pt>
                <c:pt idx="42">
                  <c:v>1E-4</c:v>
                </c:pt>
                <c:pt idx="43">
                  <c:v>1E-4</c:v>
                </c:pt>
                <c:pt idx="44">
                  <c:v>1E-4</c:v>
                </c:pt>
                <c:pt idx="45">
                  <c:v>1E-4</c:v>
                </c:pt>
                <c:pt idx="46">
                  <c:v>1E-4</c:v>
                </c:pt>
                <c:pt idx="47">
                  <c:v>1E-4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F9-554C-811D-68A0D4D9C76F}"/>
            </c:ext>
          </c:extLst>
        </c:ser>
        <c:ser>
          <c:idx val="2"/>
          <c:order val="2"/>
          <c:tx>
            <c:strRef>
              <c:f>Mortgage!$K$3</c:f>
              <c:strCache>
                <c:ptCount val="1"/>
                <c:pt idx="0">
                  <c:v>Expenses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Mortgage!$K$4:$K$54</c:f>
              <c:numCache>
                <c:formatCode>General</c:formatCode>
                <c:ptCount val="51"/>
                <c:pt idx="0">
                  <c:v>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-100</c:v>
                </c:pt>
                <c:pt idx="27">
                  <c:v>-100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F9-554C-811D-68A0D4D9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Looking Present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Mortgage!$N$3</c:f>
              <c:strCache>
                <c:ptCount val="1"/>
                <c:pt idx="0">
                  <c:v>PV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Mortgage!$N$4:$N$54</c:f>
              <c:numCache>
                <c:formatCode>0</c:formatCode>
                <c:ptCount val="51"/>
                <c:pt idx="0">
                  <c:v>4666.1533079544288</c:v>
                </c:pt>
                <c:pt idx="1">
                  <c:v>4602.7994402726063</c:v>
                </c:pt>
                <c:pt idx="2">
                  <c:v>4536.9114178835116</c:v>
                </c:pt>
                <c:pt idx="3">
                  <c:v>4468.3878745988513</c:v>
                </c:pt>
                <c:pt idx="4">
                  <c:v>4397.1233895828054</c:v>
                </c:pt>
                <c:pt idx="5">
                  <c:v>4323.008325166119</c:v>
                </c:pt>
                <c:pt idx="6">
                  <c:v>4245.9286581727629</c:v>
                </c:pt>
                <c:pt idx="7">
                  <c:v>4165.7658044996733</c:v>
                </c:pt>
                <c:pt idx="8">
                  <c:v>4082.3964366796613</c:v>
                </c:pt>
                <c:pt idx="9">
                  <c:v>3995.6922941468474</c:v>
                </c:pt>
                <c:pt idx="10">
                  <c:v>3905.5199859127224</c:v>
                </c:pt>
                <c:pt idx="11">
                  <c:v>3811.74078534923</c:v>
                </c:pt>
                <c:pt idx="12">
                  <c:v>3714.2104167632006</c:v>
                </c:pt>
                <c:pt idx="13">
                  <c:v>3612.7788334337283</c:v>
                </c:pt>
                <c:pt idx="14">
                  <c:v>3507.2899867710771</c:v>
                </c:pt>
                <c:pt idx="15">
                  <c:v>3397.5815862419208</c:v>
                </c:pt>
                <c:pt idx="16">
                  <c:v>3283.4848496915979</c:v>
                </c:pt>
                <c:pt idx="17">
                  <c:v>3164.8242436792621</c:v>
                </c:pt>
                <c:pt idx="18">
                  <c:v>3041.4172134264327</c:v>
                </c:pt>
                <c:pt idx="19">
                  <c:v>2913.0739019634893</c:v>
                </c:pt>
                <c:pt idx="20">
                  <c:v>2779.5968580420295</c:v>
                </c:pt>
                <c:pt idx="21">
                  <c:v>2640.7807323637116</c:v>
                </c:pt>
                <c:pt idx="22">
                  <c:v>2496.4119616582598</c:v>
                </c:pt>
                <c:pt idx="23">
                  <c:v>2346.2684401245901</c:v>
                </c:pt>
                <c:pt idx="24">
                  <c:v>2190.119177729573</c:v>
                </c:pt>
                <c:pt idx="25">
                  <c:v>2027.7239448387572</c:v>
                </c:pt>
                <c:pt idx="26">
                  <c:v>1858.8329026323072</c:v>
                </c:pt>
                <c:pt idx="27">
                  <c:v>1683.1862187375996</c:v>
                </c:pt>
                <c:pt idx="28">
                  <c:v>1500.5136674871037</c:v>
                </c:pt>
                <c:pt idx="29">
                  <c:v>1310.5342141865879</c:v>
                </c:pt>
                <c:pt idx="30">
                  <c:v>1112.955582754051</c:v>
                </c:pt>
                <c:pt idx="31">
                  <c:v>907.47380606421325</c:v>
                </c:pt>
                <c:pt idx="32">
                  <c:v>693.77275830678184</c:v>
                </c:pt>
                <c:pt idx="33">
                  <c:v>471.5236686390532</c:v>
                </c:pt>
                <c:pt idx="34">
                  <c:v>240.38461538461533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A-BD4F-BADC-4C93E2483463}"/>
            </c:ext>
          </c:extLst>
        </c:ser>
        <c:ser>
          <c:idx val="1"/>
          <c:order val="1"/>
          <c:tx>
            <c:strRef>
              <c:f>Mortgage!$O$3</c:f>
              <c:strCache>
                <c:ptCount val="1"/>
                <c:pt idx="0">
                  <c:v>PV of Future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Mortgage!$O$4:$O$54</c:f>
              <c:numCache>
                <c:formatCode>0</c:formatCode>
                <c:ptCount val="51"/>
                <c:pt idx="0">
                  <c:v>2.8175713848512744E-4</c:v>
                </c:pt>
                <c:pt idx="1">
                  <c:v>2.9302742402453257E-4</c:v>
                </c:pt>
                <c:pt idx="2">
                  <c:v>3.0474852098551388E-4</c:v>
                </c:pt>
                <c:pt idx="3">
                  <c:v>3.1693846182493442E-4</c:v>
                </c:pt>
                <c:pt idx="4">
                  <c:v>3.2961600029793184E-4</c:v>
                </c:pt>
                <c:pt idx="5">
                  <c:v>3.4280064030984913E-4</c:v>
                </c:pt>
                <c:pt idx="6">
                  <c:v>3.5651266592224309E-4</c:v>
                </c:pt>
                <c:pt idx="7">
                  <c:v>3.7077317255913275E-4</c:v>
                </c:pt>
                <c:pt idx="8">
                  <c:v>3.8560409946149818E-4</c:v>
                </c:pt>
                <c:pt idx="9">
                  <c:v>4.0102826343995816E-4</c:v>
                </c:pt>
                <c:pt idx="10">
                  <c:v>4.1706939397755647E-4</c:v>
                </c:pt>
                <c:pt idx="11">
                  <c:v>4.3375216973665868E-4</c:v>
                </c:pt>
                <c:pt idx="12">
                  <c:v>4.5110225652612515E-4</c:v>
                </c:pt>
                <c:pt idx="13">
                  <c:v>4.6914634678717014E-4</c:v>
                </c:pt>
                <c:pt idx="14">
                  <c:v>4.8791220065865691E-4</c:v>
                </c:pt>
                <c:pt idx="15">
                  <c:v>5.0742868868500321E-4</c:v>
                </c:pt>
                <c:pt idx="16">
                  <c:v>5.2772583623240347E-4</c:v>
                </c:pt>
                <c:pt idx="17">
                  <c:v>5.4883486968169959E-4</c:v>
                </c:pt>
                <c:pt idx="18">
                  <c:v>5.7078826446896758E-4</c:v>
                </c:pt>
                <c:pt idx="19">
                  <c:v>5.9361979504772631E-4</c:v>
                </c:pt>
                <c:pt idx="20">
                  <c:v>6.1736458684963542E-4</c:v>
                </c:pt>
                <c:pt idx="21">
                  <c:v>6.4205917032362093E-4</c:v>
                </c:pt>
                <c:pt idx="22">
                  <c:v>6.6774153713656571E-4</c:v>
                </c:pt>
                <c:pt idx="23">
                  <c:v>6.9445119862202834E-4</c:v>
                </c:pt>
                <c:pt idx="24">
                  <c:v>7.2222924656690948E-4</c:v>
                </c:pt>
                <c:pt idx="25">
                  <c:v>7.5111841642958607E-4</c:v>
                </c:pt>
                <c:pt idx="26">
                  <c:v>7.8116315308676936E-4</c:v>
                </c:pt>
                <c:pt idx="27">
                  <c:v>8.1240967921024018E-4</c:v>
                </c:pt>
                <c:pt idx="28">
                  <c:v>8.4490606637864995E-4</c:v>
                </c:pt>
                <c:pt idx="29">
                  <c:v>8.7870230903379603E-4</c:v>
                </c:pt>
                <c:pt idx="30">
                  <c:v>9.1385040139514771E-4</c:v>
                </c:pt>
                <c:pt idx="31">
                  <c:v>9.5040441745095376E-4</c:v>
                </c:pt>
                <c:pt idx="32">
                  <c:v>9.88420594148992E-4</c:v>
                </c:pt>
                <c:pt idx="33">
                  <c:v>1.0279574179149517E-3</c:v>
                </c:pt>
                <c:pt idx="34">
                  <c:v>1.0690757146315497E-3</c:v>
                </c:pt>
                <c:pt idx="35">
                  <c:v>1.1118387432168119E-3</c:v>
                </c:pt>
                <c:pt idx="36">
                  <c:v>1.0563122929454843E-3</c:v>
                </c:pt>
                <c:pt idx="37">
                  <c:v>9.985647846633037E-4</c:v>
                </c:pt>
                <c:pt idx="38">
                  <c:v>9.385073760498359E-4</c:v>
                </c:pt>
                <c:pt idx="39">
                  <c:v>8.7604767109182927E-4</c:v>
                </c:pt>
                <c:pt idx="40">
                  <c:v>8.1108957793550281E-4</c:v>
                </c:pt>
                <c:pt idx="41">
                  <c:v>7.4353316105292306E-4</c:v>
                </c:pt>
                <c:pt idx="42">
                  <c:v>6.7327448749503974E-4</c:v>
                </c:pt>
                <c:pt idx="43">
                  <c:v>6.0020546699484137E-4</c:v>
                </c:pt>
                <c:pt idx="44">
                  <c:v>5.2421368567463506E-4</c:v>
                </c:pt>
                <c:pt idx="45">
                  <c:v>4.451822331016206E-4</c:v>
                </c:pt>
                <c:pt idx="46">
                  <c:v>3.6298952242568537E-4</c:v>
                </c:pt>
                <c:pt idx="47">
                  <c:v>2.775091033227128E-4</c:v>
                </c:pt>
                <c:pt idx="48">
                  <c:v>1.8860946745562129E-4</c:v>
                </c:pt>
                <c:pt idx="49">
                  <c:v>9.6153846153846154E-5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A-BD4F-BADC-4C93E2483463}"/>
            </c:ext>
          </c:extLst>
        </c:ser>
        <c:ser>
          <c:idx val="2"/>
          <c:order val="2"/>
          <c:tx>
            <c:strRef>
              <c:f>Mortgage!$P$3</c:f>
              <c:strCache>
                <c:ptCount val="1"/>
                <c:pt idx="0">
                  <c:v>PV of Future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Mortgage!$P$4:$P$54</c:f>
              <c:numCache>
                <c:formatCode>0</c:formatCode>
                <c:ptCount val="51"/>
                <c:pt idx="0">
                  <c:v>-2148.2184616668987</c:v>
                </c:pt>
                <c:pt idx="1">
                  <c:v>-2134.1472001335742</c:v>
                </c:pt>
                <c:pt idx="2">
                  <c:v>-2119.5130881389173</c:v>
                </c:pt>
                <c:pt idx="3">
                  <c:v>-2104.2936116644742</c:v>
                </c:pt>
                <c:pt idx="4">
                  <c:v>-2088.4653561310538</c:v>
                </c:pt>
                <c:pt idx="5">
                  <c:v>-2072.0039703762959</c:v>
                </c:pt>
                <c:pt idx="6">
                  <c:v>-2054.8841291913477</c:v>
                </c:pt>
                <c:pt idx="7">
                  <c:v>-2037.0794943590013</c:v>
                </c:pt>
                <c:pt idx="8">
                  <c:v>-2018.562674133362</c:v>
                </c:pt>
                <c:pt idx="9">
                  <c:v>-1999.3051810986972</c:v>
                </c:pt>
                <c:pt idx="10">
                  <c:v>-1979.2773883426453</c:v>
                </c:pt>
                <c:pt idx="11">
                  <c:v>-1958.4484838763506</c:v>
                </c:pt>
                <c:pt idx="12">
                  <c:v>-1936.7864232314053</c:v>
                </c:pt>
                <c:pt idx="13">
                  <c:v>-1914.2578801606614</c:v>
                </c:pt>
                <c:pt idx="14">
                  <c:v>-1890.828195367088</c:v>
                </c:pt>
                <c:pt idx="15">
                  <c:v>-1866.4613231817721</c:v>
                </c:pt>
                <c:pt idx="16">
                  <c:v>-1841.1197761090432</c:v>
                </c:pt>
                <c:pt idx="17">
                  <c:v>-1814.7645671534049</c:v>
                </c:pt>
                <c:pt idx="18">
                  <c:v>-1787.3551498395411</c:v>
                </c:pt>
                <c:pt idx="19">
                  <c:v>-1758.8493558331229</c:v>
                </c:pt>
                <c:pt idx="20">
                  <c:v>-1729.2033300664473</c:v>
                </c:pt>
                <c:pt idx="21">
                  <c:v>-1698.371463269106</c:v>
                </c:pt>
                <c:pt idx="22">
                  <c:v>-1666.3063217998697</c:v>
                </c:pt>
                <c:pt idx="23">
                  <c:v>-1632.9585746718644</c:v>
                </c:pt>
                <c:pt idx="24">
                  <c:v>-1598.276917658739</c:v>
                </c:pt>
                <c:pt idx="25">
                  <c:v>-1562.207994365089</c:v>
                </c:pt>
                <c:pt idx="26">
                  <c:v>-1524.696314139692</c:v>
                </c:pt>
                <c:pt idx="27">
                  <c:v>-1485.6841667052799</c:v>
                </c:pt>
                <c:pt idx="28">
                  <c:v>-1445.1115333734913</c:v>
                </c:pt>
                <c:pt idx="29">
                  <c:v>-1402.9159947084311</c:v>
                </c:pt>
                <c:pt idx="30">
                  <c:v>-1359.032634496768</c:v>
                </c:pt>
                <c:pt idx="31">
                  <c:v>-1313.3939398766393</c:v>
                </c:pt>
                <c:pt idx="32">
                  <c:v>-1265.9296974717047</c:v>
                </c:pt>
                <c:pt idx="33">
                  <c:v>-1216.5668853705731</c:v>
                </c:pt>
                <c:pt idx="34">
                  <c:v>-1165.229560785396</c:v>
                </c:pt>
                <c:pt idx="35">
                  <c:v>-1111.838743216812</c:v>
                </c:pt>
                <c:pt idx="36">
                  <c:v>-1056.3122929454844</c:v>
                </c:pt>
                <c:pt idx="37">
                  <c:v>-998.56478466330395</c:v>
                </c:pt>
                <c:pt idx="38">
                  <c:v>-938.5073760498359</c:v>
                </c:pt>
                <c:pt idx="39">
                  <c:v>-876.04767109182922</c:v>
                </c:pt>
                <c:pt idx="40">
                  <c:v>-811.0895779355028</c:v>
                </c:pt>
                <c:pt idx="41">
                  <c:v>-743.53316105292288</c:v>
                </c:pt>
                <c:pt idx="42">
                  <c:v>-673.27448749503969</c:v>
                </c:pt>
                <c:pt idx="43">
                  <c:v>-600.20546699484123</c:v>
                </c:pt>
                <c:pt idx="44">
                  <c:v>-524.21368567463503</c:v>
                </c:pt>
                <c:pt idx="45">
                  <c:v>-445.18223310162051</c:v>
                </c:pt>
                <c:pt idx="46">
                  <c:v>-362.98952242568532</c:v>
                </c:pt>
                <c:pt idx="47">
                  <c:v>-277.50910332271275</c:v>
                </c:pt>
                <c:pt idx="48">
                  <c:v>-188.60946745562129</c:v>
                </c:pt>
                <c:pt idx="49">
                  <c:v>-96.153846153846146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4A-BD4F-BADC-4C93E2483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Durations of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Mortgage!$Q$3</c:f>
              <c:strCache>
                <c:ptCount val="1"/>
                <c:pt idx="0">
                  <c:v>Duration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Mortgage!$Q$4:$Q$54</c:f>
              <c:numCache>
                <c:formatCode>0</c:formatCode>
                <c:ptCount val="51"/>
                <c:pt idx="0">
                  <c:v>13.576772045934618</c:v>
                </c:pt>
                <c:pt idx="1">
                  <c:v>13.300427114338941</c:v>
                </c:pt>
                <c:pt idx="2">
                  <c:v>13.018805424161895</c:v>
                </c:pt>
                <c:pt idx="3">
                  <c:v>12.731854045314069</c:v>
                </c:pt>
                <c:pt idx="4">
                  <c:v>12.439521024522429</c:v>
                </c:pt>
                <c:pt idx="5">
                  <c:v>12.141755432455765</c:v>
                </c:pt>
                <c:pt idx="6">
                  <c:v>11.838507410477396</c:v>
                </c:pt>
                <c:pt idx="7">
                  <c:v>11.529728216946154</c:v>
                </c:pt>
                <c:pt idx="8">
                  <c:v>11.215370272986426</c:v>
                </c:pt>
                <c:pt idx="9">
                  <c:v>10.895387207647298</c:v>
                </c:pt>
                <c:pt idx="10">
                  <c:v>10.569733902371022</c:v>
                </c:pt>
                <c:pt idx="11">
                  <c:v>10.238366534690947</c:v>
                </c:pt>
                <c:pt idx="12">
                  <c:v>9.9012426210792608</c:v>
                </c:pt>
                <c:pt idx="13">
                  <c:v>9.5583210588656442</c:v>
                </c:pt>
                <c:pt idx="14">
                  <c:v>9.2095621671483876</c:v>
                </c:pt>
                <c:pt idx="15">
                  <c:v>8.854927726620728</c:v>
                </c:pt>
                <c:pt idx="16">
                  <c:v>8.4943810182362096</c:v>
                </c:pt>
                <c:pt idx="17">
                  <c:v>8.1278868606383394</c:v>
                </c:pt>
                <c:pt idx="18">
                  <c:v>7.7554116462814724</c:v>
                </c:pt>
                <c:pt idx="19">
                  <c:v>7.3769233761717095</c:v>
                </c:pt>
                <c:pt idx="20">
                  <c:v>6.9923916931587025</c:v>
                </c:pt>
                <c:pt idx="21">
                  <c:v>6.6017879137115978</c:v>
                </c:pt>
                <c:pt idx="22">
                  <c:v>6.2050850581148103</c:v>
                </c:pt>
                <c:pt idx="23">
                  <c:v>5.802257879022136</c:v>
                </c:pt>
                <c:pt idx="24">
                  <c:v>5.3932828883106261</c:v>
                </c:pt>
                <c:pt idx="25">
                  <c:v>4.978138382178722</c:v>
                </c:pt>
                <c:pt idx="26">
                  <c:v>4.5568044644365759</c:v>
                </c:pt>
                <c:pt idx="27">
                  <c:v>4.1292630679398226</c:v>
                </c:pt>
                <c:pt idx="28">
                  <c:v>3.6954979741218841</c:v>
                </c:pt>
                <c:pt idx="29">
                  <c:v>3.2554948305835545</c:v>
                </c:pt>
                <c:pt idx="30">
                  <c:v>2.8092411667026544</c:v>
                </c:pt>
                <c:pt idx="31">
                  <c:v>2.3567264072305445</c:v>
                </c:pt>
                <c:pt idx="32">
                  <c:v>1.8979418838465483</c:v>
                </c:pt>
                <c:pt idx="33">
                  <c:v>1.4328808446455505</c:v>
                </c:pt>
                <c:pt idx="34">
                  <c:v>0.96153846153846145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D-7F45-AD00-7552CA1BE3F7}"/>
            </c:ext>
          </c:extLst>
        </c:ser>
        <c:ser>
          <c:idx val="1"/>
          <c:order val="1"/>
          <c:tx>
            <c:strRef>
              <c:f>Mortgage!$R$3</c:f>
              <c:strCache>
                <c:ptCount val="1"/>
                <c:pt idx="0">
                  <c:v>Duration of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Mortgage!$R$4:$R$54</c:f>
              <c:numCache>
                <c:formatCode>0</c:formatCode>
                <c:ptCount val="51"/>
                <c:pt idx="0">
                  <c:v>40.646237847004855</c:v>
                </c:pt>
                <c:pt idx="1">
                  <c:v>39.684699385466402</c:v>
                </c:pt>
                <c:pt idx="2">
                  <c:v>38.723160923927935</c:v>
                </c:pt>
                <c:pt idx="3">
                  <c:v>37.761622462389482</c:v>
                </c:pt>
                <c:pt idx="4">
                  <c:v>36.800084000851015</c:v>
                </c:pt>
                <c:pt idx="5">
                  <c:v>35.838545539312555</c:v>
                </c:pt>
                <c:pt idx="6">
                  <c:v>34.877007077774074</c:v>
                </c:pt>
                <c:pt idx="7">
                  <c:v>33.915468616235636</c:v>
                </c:pt>
                <c:pt idx="8">
                  <c:v>32.953930154697161</c:v>
                </c:pt>
                <c:pt idx="9">
                  <c:v>31.992391693158702</c:v>
                </c:pt>
                <c:pt idx="10">
                  <c:v>31.030853231620242</c:v>
                </c:pt>
                <c:pt idx="11">
                  <c:v>30.069314770081782</c:v>
                </c:pt>
                <c:pt idx="12">
                  <c:v>29.107776308543315</c:v>
                </c:pt>
                <c:pt idx="13">
                  <c:v>28.146237847004855</c:v>
                </c:pt>
                <c:pt idx="14">
                  <c:v>27.184699385466395</c:v>
                </c:pt>
                <c:pt idx="15">
                  <c:v>26.223160923927939</c:v>
                </c:pt>
                <c:pt idx="16">
                  <c:v>25.261622462389468</c:v>
                </c:pt>
                <c:pt idx="17">
                  <c:v>24.300084000851008</c:v>
                </c:pt>
                <c:pt idx="18">
                  <c:v>23.338545539312545</c:v>
                </c:pt>
                <c:pt idx="19">
                  <c:v>22.377007077774085</c:v>
                </c:pt>
                <c:pt idx="20">
                  <c:v>21.415468616235625</c:v>
                </c:pt>
                <c:pt idx="21">
                  <c:v>20.453930154697158</c:v>
                </c:pt>
                <c:pt idx="22">
                  <c:v>19.492391693158705</c:v>
                </c:pt>
                <c:pt idx="23">
                  <c:v>18.530853231620242</c:v>
                </c:pt>
                <c:pt idx="24">
                  <c:v>17.569314770081778</c:v>
                </c:pt>
                <c:pt idx="25">
                  <c:v>16.607776308543311</c:v>
                </c:pt>
                <c:pt idx="26">
                  <c:v>15.64623784700486</c:v>
                </c:pt>
                <c:pt idx="27">
                  <c:v>14.6846993854664</c:v>
                </c:pt>
                <c:pt idx="28">
                  <c:v>13.723160923927935</c:v>
                </c:pt>
                <c:pt idx="29">
                  <c:v>12.761622462389468</c:v>
                </c:pt>
                <c:pt idx="30">
                  <c:v>11.80008400085101</c:v>
                </c:pt>
                <c:pt idx="31">
                  <c:v>10.838545539312548</c:v>
                </c:pt>
                <c:pt idx="32">
                  <c:v>9.8770070777740866</c:v>
                </c:pt>
                <c:pt idx="33">
                  <c:v>8.9154686162356267</c:v>
                </c:pt>
                <c:pt idx="34">
                  <c:v>7.9539301546971641</c:v>
                </c:pt>
                <c:pt idx="35">
                  <c:v>6.9923916931587042</c:v>
                </c:pt>
                <c:pt idx="36">
                  <c:v>6.6017879137115996</c:v>
                </c:pt>
                <c:pt idx="37">
                  <c:v>6.2050850581148138</c:v>
                </c:pt>
                <c:pt idx="38">
                  <c:v>5.8022578790221377</c:v>
                </c:pt>
                <c:pt idx="39">
                  <c:v>5.3932828883106261</c:v>
                </c:pt>
                <c:pt idx="40">
                  <c:v>4.9781383821787237</c:v>
                </c:pt>
                <c:pt idx="41">
                  <c:v>4.5568044644365751</c:v>
                </c:pt>
                <c:pt idx="42">
                  <c:v>4.1292630679398235</c:v>
                </c:pt>
                <c:pt idx="43">
                  <c:v>3.6954979741218845</c:v>
                </c:pt>
                <c:pt idx="44">
                  <c:v>3.2554948305835554</c:v>
                </c:pt>
                <c:pt idx="45">
                  <c:v>2.8092411667026536</c:v>
                </c:pt>
                <c:pt idx="46">
                  <c:v>2.3567264072305441</c:v>
                </c:pt>
                <c:pt idx="47">
                  <c:v>1.8979418838465478</c:v>
                </c:pt>
                <c:pt idx="48">
                  <c:v>1.4328808446455505</c:v>
                </c:pt>
                <c:pt idx="49">
                  <c:v>0.96153846153846145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FD-7F45-AD00-7552CA1BE3F7}"/>
            </c:ext>
          </c:extLst>
        </c:ser>
        <c:ser>
          <c:idx val="2"/>
          <c:order val="2"/>
          <c:tx>
            <c:strRef>
              <c:f>Mortgage!$S$3</c:f>
              <c:strCache>
                <c:ptCount val="1"/>
                <c:pt idx="0">
                  <c:v>Duration of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Mortgage!$S$4:$S$54</c:f>
              <c:numCache>
                <c:formatCode>0</c:formatCode>
                <c:ptCount val="51"/>
                <c:pt idx="0">
                  <c:v>17.127162921224102</c:v>
                </c:pt>
                <c:pt idx="1">
                  <c:v>16.923099129599414</c:v>
                </c:pt>
                <c:pt idx="2">
                  <c:v>16.714637436370801</c:v>
                </c:pt>
                <c:pt idx="3">
                  <c:v>16.501715940046228</c:v>
                </c:pt>
                <c:pt idx="4">
                  <c:v>16.284273014154877</c:v>
                </c:pt>
                <c:pt idx="5">
                  <c:v>16.062247351418321</c:v>
                </c:pt>
                <c:pt idx="6">
                  <c:v>15.835578008549948</c:v>
                </c:pt>
                <c:pt idx="7">
                  <c:v>15.604204451631066</c:v>
                </c:pt>
                <c:pt idx="8">
                  <c:v>15.368066602009661</c:v>
                </c:pt>
                <c:pt idx="9">
                  <c:v>15.127104882664915</c:v>
                </c:pt>
                <c:pt idx="10">
                  <c:v>14.881260264978623</c:v>
                </c:pt>
                <c:pt idx="11">
                  <c:v>14.630474315851865</c:v>
                </c:pt>
                <c:pt idx="12">
                  <c:v>14.37468924510328</c:v>
                </c:pt>
                <c:pt idx="13">
                  <c:v>14.113847953083011</c:v>
                </c:pt>
                <c:pt idx="14">
                  <c:v>13.847894078434589</c:v>
                </c:pt>
                <c:pt idx="15">
                  <c:v>13.576772045934613</c:v>
                </c:pt>
                <c:pt idx="16">
                  <c:v>13.30042711433893</c:v>
                </c:pt>
                <c:pt idx="17">
                  <c:v>13.01880542416189</c:v>
                </c:pt>
                <c:pt idx="18">
                  <c:v>12.731854045314066</c:v>
                </c:pt>
                <c:pt idx="19">
                  <c:v>12.439521024522424</c:v>
                </c:pt>
                <c:pt idx="20">
                  <c:v>12.141755432455762</c:v>
                </c:pt>
                <c:pt idx="21">
                  <c:v>11.838507410477391</c:v>
                </c:pt>
                <c:pt idx="22">
                  <c:v>11.529728216946154</c:v>
                </c:pt>
                <c:pt idx="23">
                  <c:v>11.21537027298643</c:v>
                </c:pt>
                <c:pt idx="24">
                  <c:v>10.895387207647294</c:v>
                </c:pt>
                <c:pt idx="25">
                  <c:v>10.569733902371025</c:v>
                </c:pt>
                <c:pt idx="26">
                  <c:v>10.238366534690947</c:v>
                </c:pt>
                <c:pt idx="27">
                  <c:v>9.9012426210792626</c:v>
                </c:pt>
                <c:pt idx="28">
                  <c:v>9.5583210588656442</c:v>
                </c:pt>
                <c:pt idx="29">
                  <c:v>9.2095621671483894</c:v>
                </c:pt>
                <c:pt idx="30">
                  <c:v>8.854927726620728</c:v>
                </c:pt>
                <c:pt idx="31">
                  <c:v>8.4943810182362078</c:v>
                </c:pt>
                <c:pt idx="32">
                  <c:v>8.1278868606383394</c:v>
                </c:pt>
                <c:pt idx="33">
                  <c:v>7.7554116462814724</c:v>
                </c:pt>
                <c:pt idx="34">
                  <c:v>7.3769233761717059</c:v>
                </c:pt>
                <c:pt idx="35">
                  <c:v>6.9923916931587025</c:v>
                </c:pt>
                <c:pt idx="36">
                  <c:v>6.6017879137115987</c:v>
                </c:pt>
                <c:pt idx="37">
                  <c:v>6.2050850581148103</c:v>
                </c:pt>
                <c:pt idx="38">
                  <c:v>5.8022578790221377</c:v>
                </c:pt>
                <c:pt idx="39">
                  <c:v>5.3932828883106252</c:v>
                </c:pt>
                <c:pt idx="40">
                  <c:v>4.9781383821787228</c:v>
                </c:pt>
                <c:pt idx="41">
                  <c:v>4.5568044644365777</c:v>
                </c:pt>
                <c:pt idx="42">
                  <c:v>4.1292630679398226</c:v>
                </c:pt>
                <c:pt idx="43">
                  <c:v>3.695497974121885</c:v>
                </c:pt>
                <c:pt idx="44">
                  <c:v>3.2554948305835554</c:v>
                </c:pt>
                <c:pt idx="45">
                  <c:v>2.809241166702654</c:v>
                </c:pt>
                <c:pt idx="46">
                  <c:v>2.3567264072305445</c:v>
                </c:pt>
                <c:pt idx="47">
                  <c:v>1.8979418838465483</c:v>
                </c:pt>
                <c:pt idx="48">
                  <c:v>1.4328808446455503</c:v>
                </c:pt>
                <c:pt idx="49">
                  <c:v>0.96153846153846145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FD-7F45-AD00-7552CA1BE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Capital vs</a:t>
            </a:r>
            <a:r>
              <a:rPr lang="en-US" baseline="0"/>
              <a:t> Financial Wealth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Mortgage!$W$3</c:f>
              <c:strCache>
                <c:ptCount val="1"/>
                <c:pt idx="0">
                  <c:v>Financial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Mortgage!$W$4:$W$54</c:f>
              <c:numCache>
                <c:formatCode>General</c:formatCode>
                <c:ptCount val="51"/>
                <c:pt idx="0">
                  <c:v>100</c:v>
                </c:pt>
                <c:pt idx="1">
                  <c:v>254.38</c:v>
                </c:pt>
                <c:pt idx="2">
                  <c:v>415.52184399999999</c:v>
                </c:pt>
                <c:pt idx="3">
                  <c:v>583.72170076719999</c:v>
                </c:pt>
                <c:pt idx="4">
                  <c:v>759.28871126080344</c:v>
                </c:pt>
                <c:pt idx="5">
                  <c:v>942.54555681402667</c:v>
                </c:pt>
                <c:pt idx="6">
                  <c:v>1133.8290522024811</c:v>
                </c:pt>
                <c:pt idx="7">
                  <c:v>1334.659894557378</c:v>
                </c:pt>
                <c:pt idx="8">
                  <c:v>1545.5559364272538</c:v>
                </c:pt>
                <c:pt idx="9">
                  <c:v>1766.6504380601123</c:v>
                </c:pt>
                <c:pt idx="10">
                  <c:v>1998.1756014187861</c:v>
                </c:pt>
                <c:pt idx="11">
                  <c:v>2240.4330466098045</c:v>
                </c:pt>
                <c:pt idx="12">
                  <c:v>2494.4509296216402</c:v>
                </c:pt>
                <c:pt idx="13">
                  <c:v>2760.8697954086588</c:v>
                </c:pt>
                <c:pt idx="14">
                  <c:v>3040.0694362347708</c:v>
                </c:pt>
                <c:pt idx="15">
                  <c:v>3332.4869087041402</c:v>
                </c:pt>
                <c:pt idx="16">
                  <c:v>3638.6087284337982</c:v>
                </c:pt>
                <c:pt idx="17">
                  <c:v>3958.9656694466739</c:v>
                </c:pt>
                <c:pt idx="18">
                  <c:v>4294.129322681124</c:v>
                </c:pt>
                <c:pt idx="19">
                  <c:v>4644.7098691452347</c:v>
                </c:pt>
                <c:pt idx="20">
                  <c:v>5011.3547097751507</c:v>
                </c:pt>
                <c:pt idx="21">
                  <c:v>5394.7477120437106</c:v>
                </c:pt>
                <c:pt idx="22">
                  <c:v>5795.608909499646</c:v>
                </c:pt>
                <c:pt idx="23">
                  <c:v>6214.6945404737726</c:v>
                </c:pt>
                <c:pt idx="24">
                  <c:v>6652.7973456778709</c:v>
                </c:pt>
                <c:pt idx="25">
                  <c:v>7110.7470671906613</c:v>
                </c:pt>
                <c:pt idx="26">
                  <c:v>7589.4111070346917</c:v>
                </c:pt>
                <c:pt idx="27">
                  <c:v>8089.6953145317311</c:v>
                </c:pt>
                <c:pt idx="28">
                  <c:v>8612.5448793949308</c:v>
                </c:pt>
                <c:pt idx="29">
                  <c:v>9158.9453130692145</c:v>
                </c:pt>
                <c:pt idx="30">
                  <c:v>9729.9235048323044</c:v>
                </c:pt>
                <c:pt idx="31">
                  <c:v>10326.548842067887</c:v>
                </c:pt>
                <c:pt idx="32">
                  <c:v>10949.934386228613</c:v>
                </c:pt>
                <c:pt idx="33">
                  <c:v>11601.238097534308</c:v>
                </c:pt>
                <c:pt idx="34">
                  <c:v>12281.66410255011</c:v>
                </c:pt>
                <c:pt idx="35">
                  <c:v>12992.463999566949</c:v>
                </c:pt>
                <c:pt idx="36">
                  <c:v>13484.938297238377</c:v>
                </c:pt>
                <c:pt idx="37">
                  <c:v>14000.000557755018</c:v>
                </c:pt>
                <c:pt idx="38">
                  <c:v>14538.693609075788</c:v>
                </c:pt>
                <c:pt idx="39">
                  <c:v>15102.109973770013</c:v>
                </c:pt>
                <c:pt idx="40">
                  <c:v>15691.394175450916</c:v>
                </c:pt>
                <c:pt idx="41">
                  <c:v>16307.745149389617</c:v>
                </c:pt>
                <c:pt idx="42">
                  <c:v>16952.418762260659</c:v>
                </c:pt>
                <c:pt idx="43">
                  <c:v>17626.730446192232</c:v>
                </c:pt>
                <c:pt idx="44">
                  <c:v>18332.057952526302</c:v>
                </c:pt>
                <c:pt idx="45">
                  <c:v>19069.844230935851</c:v>
                </c:pt>
                <c:pt idx="46">
                  <c:v>19841.6004397994</c:v>
                </c:pt>
                <c:pt idx="47">
                  <c:v>20648.909093997092</c:v>
                </c:pt>
                <c:pt idx="48">
                  <c:v>21493.427356568591</c:v>
                </c:pt>
                <c:pt idx="49">
                  <c:v>22376.890480961571</c:v>
                </c:pt>
                <c:pt idx="50">
                  <c:v>23301.115410900929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2-7047-AAE5-D35D91613C77}"/>
            </c:ext>
          </c:extLst>
        </c:ser>
        <c:ser>
          <c:idx val="1"/>
          <c:order val="1"/>
          <c:tx>
            <c:strRef>
              <c:f>Mortgage!$X$3</c:f>
              <c:strCache>
                <c:ptCount val="1"/>
                <c:pt idx="0">
                  <c:v>Total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Mortgage!$X$4:$X$54</c:f>
              <c:numCache>
                <c:formatCode>0</c:formatCode>
                <c:ptCount val="51"/>
                <c:pt idx="0">
                  <c:v>2617.9351280446685</c:v>
                </c:pt>
                <c:pt idx="1">
                  <c:v>2723.0325331664562</c:v>
                </c:pt>
                <c:pt idx="2">
                  <c:v>2832.9204784931148</c:v>
                </c:pt>
                <c:pt idx="3">
                  <c:v>2947.8162806400387</c:v>
                </c:pt>
                <c:pt idx="4">
                  <c:v>3067.9470743285556</c:v>
                </c:pt>
                <c:pt idx="5">
                  <c:v>3193.5502544044903</c:v>
                </c:pt>
                <c:pt idx="6">
                  <c:v>3324.8739376965623</c:v>
                </c:pt>
                <c:pt idx="7">
                  <c:v>3463.3465754712224</c:v>
                </c:pt>
                <c:pt idx="8">
                  <c:v>3609.3900845776525</c:v>
                </c:pt>
                <c:pt idx="9">
                  <c:v>3763.0379521365257</c:v>
                </c:pt>
                <c:pt idx="10">
                  <c:v>3924.4186160582576</c:v>
                </c:pt>
                <c:pt idx="11">
                  <c:v>4093.7257818348535</c:v>
                </c:pt>
                <c:pt idx="12">
                  <c:v>4271.8753742556919</c:v>
                </c:pt>
                <c:pt idx="13">
                  <c:v>4459.3912178280725</c:v>
                </c:pt>
                <c:pt idx="14">
                  <c:v>4656.5317155509601</c:v>
                </c:pt>
                <c:pt idx="15">
                  <c:v>4863.6076791929772</c:v>
                </c:pt>
                <c:pt idx="16">
                  <c:v>5080.9743297421892</c:v>
                </c:pt>
                <c:pt idx="17">
                  <c:v>5309.0258948074006</c:v>
                </c:pt>
                <c:pt idx="18">
                  <c:v>5548.1919570562804</c:v>
                </c:pt>
                <c:pt idx="19">
                  <c:v>5798.9350088953961</c:v>
                </c:pt>
                <c:pt idx="20">
                  <c:v>6061.7488551153201</c:v>
                </c:pt>
                <c:pt idx="21">
                  <c:v>6337.1576231974868</c:v>
                </c:pt>
                <c:pt idx="22">
                  <c:v>6625.7152170995732</c:v>
                </c:pt>
                <c:pt idx="23">
                  <c:v>6928.0051003776971</c:v>
                </c:pt>
                <c:pt idx="24">
                  <c:v>7244.6403279779515</c:v>
                </c:pt>
                <c:pt idx="25">
                  <c:v>7576.2637687827464</c:v>
                </c:pt>
                <c:pt idx="26">
                  <c:v>7923.5484766904601</c:v>
                </c:pt>
                <c:pt idx="27">
                  <c:v>8287.1981789737292</c:v>
                </c:pt>
                <c:pt idx="28">
                  <c:v>8667.9478584146091</c:v>
                </c:pt>
                <c:pt idx="29">
                  <c:v>9066.5644112496811</c:v>
                </c:pt>
                <c:pt idx="30">
                  <c:v>9483.8473669399882</c:v>
                </c:pt>
                <c:pt idx="31">
                  <c:v>9920.6296586598783</c:v>
                </c:pt>
                <c:pt idx="32">
                  <c:v>10377.778435484284</c:v>
                </c:pt>
                <c:pt idx="33">
                  <c:v>10856.195908760206</c:v>
                </c:pt>
                <c:pt idx="34">
                  <c:v>11356.820226225045</c:v>
                </c:pt>
                <c:pt idx="35">
                  <c:v>11880.626368188881</c:v>
                </c:pt>
                <c:pt idx="36">
                  <c:v>12428.627060605186</c:v>
                </c:pt>
                <c:pt idx="37">
                  <c:v>13001.436771656499</c:v>
                </c:pt>
                <c:pt idx="38">
                  <c:v>13600.187171533329</c:v>
                </c:pt>
                <c:pt idx="39">
                  <c:v>14226.063178725855</c:v>
                </c:pt>
                <c:pt idx="40">
                  <c:v>14880.305408604991</c:v>
                </c:pt>
                <c:pt idx="41">
                  <c:v>15564.212731869855</c:v>
                </c:pt>
                <c:pt idx="42">
                  <c:v>16279.144948040106</c:v>
                </c:pt>
                <c:pt idx="43">
                  <c:v>17026.525579402856</c:v>
                </c:pt>
                <c:pt idx="44">
                  <c:v>17807.844791065352</c:v>
                </c:pt>
                <c:pt idx="45">
                  <c:v>18624.662443016463</c:v>
                </c:pt>
                <c:pt idx="46">
                  <c:v>19478.611280363239</c:v>
                </c:pt>
                <c:pt idx="47">
                  <c:v>20371.400268183483</c:v>
                </c:pt>
                <c:pt idx="48">
                  <c:v>21304.818077722437</c:v>
                </c:pt>
                <c:pt idx="49">
                  <c:v>22280.736730961569</c:v>
                </c:pt>
                <c:pt idx="50">
                  <c:v>23201.115510900931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62-7047-AAE5-D35D91613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Decomposition of Human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Mortgage!$Z$3</c:f>
              <c:strCache>
                <c:ptCount val="1"/>
                <c:pt idx="0">
                  <c:v>Stocks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Mortgage!$Z$4:$Z$54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4-454A-8A6A-67A343C98CD5}"/>
            </c:ext>
          </c:extLst>
        </c:ser>
        <c:ser>
          <c:idx val="1"/>
          <c:order val="1"/>
          <c:tx>
            <c:strRef>
              <c:f>Mortgage!$AA$3</c:f>
              <c:strCache>
                <c:ptCount val="1"/>
                <c:pt idx="0">
                  <c:v>Bonds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Mortgage!$AA$4:$AA$54</c:f>
              <c:numCache>
                <c:formatCode>0</c:formatCode>
                <c:ptCount val="51"/>
                <c:pt idx="0">
                  <c:v>3424.3945834314072</c:v>
                </c:pt>
                <c:pt idx="1">
                  <c:v>3309.1458636359935</c:v>
                </c:pt>
                <c:pt idx="2">
                  <c:v>3192.7117284369674</c:v>
                </c:pt>
                <c:pt idx="3">
                  <c:v>3075.1817425537147</c:v>
                </c:pt>
                <c:pt idx="4">
                  <c:v>2956.6545325478182</c:v>
                </c:pt>
                <c:pt idx="5">
                  <c:v>2837.2383684668771</c:v>
                </c:pt>
                <c:pt idx="6">
                  <c:v>2717.0517775208968</c:v>
                </c:pt>
                <c:pt idx="7">
                  <c:v>2596.224191423204</c:v>
                </c:pt>
                <c:pt idx="8">
                  <c:v>2474.8966291071774</c:v>
                </c:pt>
                <c:pt idx="9">
                  <c:v>2353.2224166131055</c:v>
                </c:pt>
                <c:pt idx="10">
                  <c:v>2231.3679460264489</c:v>
                </c:pt>
                <c:pt idx="11">
                  <c:v>2109.5134754397918</c:v>
                </c:pt>
                <c:pt idx="12">
                  <c:v>1987.8539720060737</c:v>
                </c:pt>
                <c:pt idx="13">
                  <c:v>1866.6000002504679</c:v>
                </c:pt>
                <c:pt idx="14">
                  <c:v>1745.9786579127181</c:v>
                </c:pt>
                <c:pt idx="15">
                  <c:v>1626.2345617010606</c:v>
                </c:pt>
                <c:pt idx="16">
                  <c:v>1507.6308854533233</c:v>
                </c:pt>
                <c:pt idx="17">
                  <c:v>1390.4504533205593</c:v>
                </c:pt>
                <c:pt idx="18">
                  <c:v>1274.9968907139621</c:v>
                </c:pt>
                <c:pt idx="19">
                  <c:v>1161.5958358870378</c:v>
                </c:pt>
                <c:pt idx="20">
                  <c:v>1050.5962151623307</c:v>
                </c:pt>
                <c:pt idx="21">
                  <c:v>942.37158495574124</c:v>
                </c:pt>
                <c:pt idx="22">
                  <c:v>837.3215439018785</c:v>
                </c:pt>
                <c:pt idx="23">
                  <c:v>735.87321854129073</c:v>
                </c:pt>
                <c:pt idx="24">
                  <c:v>638.48282619512679</c:v>
                </c:pt>
                <c:pt idx="25">
                  <c:v>545.63731882511718</c:v>
                </c:pt>
                <c:pt idx="26">
                  <c:v>457.85611185710792</c:v>
                </c:pt>
                <c:pt idx="27">
                  <c:v>375.69290213505133</c:v>
                </c:pt>
                <c:pt idx="28">
                  <c:v>299.73757936977245</c:v>
                </c:pt>
                <c:pt idx="29">
                  <c:v>230.61823565336854</c:v>
                </c:pt>
                <c:pt idx="30">
                  <c:v>169.00327782617421</c:v>
                </c:pt>
                <c:pt idx="31">
                  <c:v>115.60364770927251</c:v>
                </c:pt>
                <c:pt idx="32">
                  <c:v>71.175155452010245</c:v>
                </c:pt>
                <c:pt idx="33">
                  <c:v>36.520931491345692</c:v>
                </c:pt>
                <c:pt idx="34">
                  <c:v>12.494002878618259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14-454A-8A6A-67A343C98CD5}"/>
            </c:ext>
          </c:extLst>
        </c:ser>
        <c:ser>
          <c:idx val="2"/>
          <c:order val="2"/>
          <c:tx>
            <c:strRef>
              <c:f>Mortgage!$AB$3</c:f>
              <c:strCache>
                <c:ptCount val="1"/>
                <c:pt idx="0">
                  <c:v>Cash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Mortgage!$AB$4:$AB$54</c:f>
              <c:numCache>
                <c:formatCode>0</c:formatCode>
                <c:ptCount val="51"/>
                <c:pt idx="0">
                  <c:v>1241.7587245230216</c:v>
                </c:pt>
                <c:pt idx="1">
                  <c:v>1293.6535766366128</c:v>
                </c:pt>
                <c:pt idx="2">
                  <c:v>1344.1996894465442</c:v>
                </c:pt>
                <c:pt idx="3">
                  <c:v>1393.2061320451367</c:v>
                </c:pt>
                <c:pt idx="4">
                  <c:v>1440.4688570349872</c:v>
                </c:pt>
                <c:pt idx="5">
                  <c:v>1485.7699566992419</c:v>
                </c:pt>
                <c:pt idx="6">
                  <c:v>1528.876880651866</c:v>
                </c:pt>
                <c:pt idx="7">
                  <c:v>1569.5416130764693</c:v>
                </c:pt>
                <c:pt idx="8">
                  <c:v>1607.4998075724839</c:v>
                </c:pt>
                <c:pt idx="9">
                  <c:v>1642.469877533742</c:v>
                </c:pt>
                <c:pt idx="10">
                  <c:v>1674.1520398862735</c:v>
                </c:pt>
                <c:pt idx="11">
                  <c:v>1702.2273099094382</c:v>
                </c:pt>
                <c:pt idx="12">
                  <c:v>1726.3564447571268</c:v>
                </c:pt>
                <c:pt idx="13">
                  <c:v>1746.1788331832604</c:v>
                </c:pt>
                <c:pt idx="14">
                  <c:v>1761.311328858359</c:v>
                </c:pt>
                <c:pt idx="15">
                  <c:v>1771.3470245408603</c:v>
                </c:pt>
                <c:pt idx="16">
                  <c:v>1775.8539642382746</c:v>
                </c:pt>
                <c:pt idx="17">
                  <c:v>1774.3737903587028</c:v>
                </c:pt>
                <c:pt idx="18">
                  <c:v>1766.4203227124706</c:v>
                </c:pt>
                <c:pt idx="19">
                  <c:v>1751.4780660764516</c:v>
                </c:pt>
                <c:pt idx="20">
                  <c:v>1729.0006428796987</c:v>
                </c:pt>
                <c:pt idx="21">
                  <c:v>1698.4091474079705</c:v>
                </c:pt>
                <c:pt idx="22">
                  <c:v>1659.0904177563812</c:v>
                </c:pt>
                <c:pt idx="23">
                  <c:v>1610.3952215832994</c:v>
                </c:pt>
                <c:pt idx="24">
                  <c:v>1551.6363515344462</c:v>
                </c:pt>
                <c:pt idx="25">
                  <c:v>1482.0866260136399</c:v>
                </c:pt>
                <c:pt idx="26">
                  <c:v>1400.9767907751993</c:v>
                </c:pt>
                <c:pt idx="27">
                  <c:v>1307.4933166025482</c:v>
                </c:pt>
                <c:pt idx="28">
                  <c:v>1200.7760881173313</c:v>
                </c:pt>
                <c:pt idx="29">
                  <c:v>1079.9159785332192</c:v>
                </c:pt>
                <c:pt idx="30">
                  <c:v>943.95230492787675</c:v>
                </c:pt>
                <c:pt idx="31">
                  <c:v>791.87015835494071</c:v>
                </c:pt>
                <c:pt idx="32">
                  <c:v>622.59760285477159</c:v>
                </c:pt>
                <c:pt idx="33">
                  <c:v>435.00273714770753</c:v>
                </c:pt>
                <c:pt idx="34">
                  <c:v>227.89061250599707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14-454A-8A6A-67A343C98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+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Mortgage!$AC$3</c:f>
              <c:strCache>
                <c:ptCount val="1"/>
                <c:pt idx="0">
                  <c:v>Bonds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Mortgage!$AC$4:$AC$54</c:f>
              <c:numCache>
                <c:formatCode>0</c:formatCode>
                <c:ptCount val="51"/>
                <c:pt idx="0">
                  <c:v>6.1904690086259323E-4</c:v>
                </c:pt>
                <c:pt idx="1">
                  <c:v>6.2857866130330647E-4</c:v>
                </c:pt>
                <c:pt idx="2">
                  <c:v>6.3788248753789633E-4</c:v>
                </c:pt>
                <c:pt idx="3">
                  <c:v>6.4692489401316829E-4</c:v>
                </c:pt>
                <c:pt idx="4">
                  <c:v>6.5567008102640132E-4</c:v>
                </c:pt>
                <c:pt idx="5">
                  <c:v>6.6407980317027197E-4</c:v>
                </c:pt>
                <c:pt idx="6">
                  <c:v>6.7211323095600953E-4</c:v>
                </c:pt>
                <c:pt idx="7">
                  <c:v>6.7972680527953442E-4</c:v>
                </c:pt>
                <c:pt idx="8">
                  <c:v>6.868740843794112E-4</c:v>
                </c:pt>
                <c:pt idx="9">
                  <c:v>6.9350558291883123E-4</c:v>
                </c:pt>
                <c:pt idx="10">
                  <c:v>6.9956860280639748E-4</c:v>
                </c:pt>
                <c:pt idx="11">
                  <c:v>7.0500705535229892E-4</c:v>
                </c:pt>
                <c:pt idx="12">
                  <c:v>7.097612743373824E-4</c:v>
                </c:pt>
                <c:pt idx="13">
                  <c:v>7.1376781955270882E-4</c:v>
                </c:pt>
                <c:pt idx="14">
                  <c:v>7.1695927034632148E-4</c:v>
                </c:pt>
                <c:pt idx="15">
                  <c:v>7.1926400869213897E-4</c:v>
                </c:pt>
                <c:pt idx="16">
                  <c:v>7.2060599127306746E-4</c:v>
                </c:pt>
                <c:pt idx="17">
                  <c:v>7.20904510046563E-4</c:v>
                </c:pt>
                <c:pt idx="18">
                  <c:v>7.2007394073590129E-4</c:v>
                </c:pt>
                <c:pt idx="19">
                  <c:v>7.1802347866431211E-4</c:v>
                </c:pt>
                <c:pt idx="20">
                  <c:v>7.1465686132181838E-4</c:v>
                </c:pt>
                <c:pt idx="21">
                  <c:v>7.0987207702606202E-4</c:v>
                </c:pt>
                <c:pt idx="22">
                  <c:v>7.0356105900853071E-4</c:v>
                </c:pt>
                <c:pt idx="23">
                  <c:v>6.9560936422635483E-4</c:v>
                </c:pt>
                <c:pt idx="24">
                  <c:v>6.8589583616719121E-4</c:v>
                </c:pt>
                <c:pt idx="25">
                  <c:v>6.7429225088053233E-4</c:v>
                </c:pt>
                <c:pt idx="26">
                  <c:v>6.6066294543307364E-4</c:v>
                </c:pt>
                <c:pt idx="27">
                  <c:v>6.4486442794840922E-4</c:v>
                </c:pt>
                <c:pt idx="28">
                  <c:v>6.2674496835227851E-4</c:v>
                </c:pt>
                <c:pt idx="29">
                  <c:v>6.061441689037396E-4</c:v>
                </c:pt>
                <c:pt idx="30">
                  <c:v>5.8289251354995441E-4</c:v>
                </c:pt>
                <c:pt idx="31">
                  <c:v>5.5681089509762029E-4</c:v>
                </c:pt>
                <c:pt idx="32">
                  <c:v>5.277101191474195E-4</c:v>
                </c:pt>
                <c:pt idx="33">
                  <c:v>4.9539038368904664E-4</c:v>
                </c:pt>
                <c:pt idx="34">
                  <c:v>4.5964073320336779E-4</c:v>
                </c:pt>
                <c:pt idx="35">
                  <c:v>4.2023848606493236E-4</c:v>
                </c:pt>
                <c:pt idx="36">
                  <c:v>3.7694863398229651E-4</c:v>
                </c:pt>
                <c:pt idx="37">
                  <c:v>3.3492861756075147E-4</c:v>
                </c:pt>
                <c:pt idx="38">
                  <c:v>2.9434928741651638E-4</c:v>
                </c:pt>
                <c:pt idx="39">
                  <c:v>2.5539313047805075E-4</c:v>
                </c:pt>
                <c:pt idx="40">
                  <c:v>2.1825492753004691E-4</c:v>
                </c:pt>
                <c:pt idx="41">
                  <c:v>1.8314244474284318E-4</c:v>
                </c:pt>
                <c:pt idx="42">
                  <c:v>1.5027716085402054E-4</c:v>
                </c:pt>
                <c:pt idx="43">
                  <c:v>1.1989503174790898E-4</c:v>
                </c:pt>
                <c:pt idx="44">
                  <c:v>9.2247294261347412E-5</c:v>
                </c:pt>
                <c:pt idx="45">
                  <c:v>6.7601311130469687E-5</c:v>
                </c:pt>
                <c:pt idx="46">
                  <c:v>4.6241459083709002E-5</c:v>
                </c:pt>
                <c:pt idx="47">
                  <c:v>2.8470062180804099E-5</c:v>
                </c:pt>
                <c:pt idx="48">
                  <c:v>1.4608372596538277E-5</c:v>
                </c:pt>
                <c:pt idx="49">
                  <c:v>4.9976011514473052E-6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D-D748-BCE7-AD0BA624FD81}"/>
            </c:ext>
          </c:extLst>
        </c:ser>
        <c:ser>
          <c:idx val="1"/>
          <c:order val="1"/>
          <c:tx>
            <c:strRef>
              <c:f>Mortgage!$AD$3</c:f>
              <c:strCache>
                <c:ptCount val="1"/>
                <c:pt idx="0">
                  <c:v>Cash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Mortgage!$AD$4:$AD$54</c:f>
              <c:numCache>
                <c:formatCode>0</c:formatCode>
                <c:ptCount val="51"/>
                <c:pt idx="0">
                  <c:v>-3.3728976237746579E-4</c:v>
                </c:pt>
                <c:pt idx="1">
                  <c:v>-3.355512372787739E-4</c:v>
                </c:pt>
                <c:pt idx="2">
                  <c:v>-3.3313396655238245E-4</c:v>
                </c:pt>
                <c:pt idx="3">
                  <c:v>-3.2998643218823387E-4</c:v>
                </c:pt>
                <c:pt idx="4">
                  <c:v>-3.2605408072846947E-4</c:v>
                </c:pt>
                <c:pt idx="5">
                  <c:v>-3.2127916286042285E-4</c:v>
                </c:pt>
                <c:pt idx="6">
                  <c:v>-3.1560056503376644E-4</c:v>
                </c:pt>
                <c:pt idx="7">
                  <c:v>-3.0895363272040167E-4</c:v>
                </c:pt>
                <c:pt idx="8">
                  <c:v>-3.0126998491791302E-4</c:v>
                </c:pt>
                <c:pt idx="9">
                  <c:v>-2.9247731947887307E-4</c:v>
                </c:pt>
                <c:pt idx="10">
                  <c:v>-2.8249920882884101E-4</c:v>
                </c:pt>
                <c:pt idx="11">
                  <c:v>-2.7125488561564025E-4</c:v>
                </c:pt>
                <c:pt idx="12">
                  <c:v>-2.5865901781125725E-4</c:v>
                </c:pt>
                <c:pt idx="13">
                  <c:v>-2.4462147276553867E-4</c:v>
                </c:pt>
                <c:pt idx="14">
                  <c:v>-2.2904706968766457E-4</c:v>
                </c:pt>
                <c:pt idx="15">
                  <c:v>-2.1183532000713576E-4</c:v>
                </c:pt>
                <c:pt idx="16">
                  <c:v>-1.9288015504066399E-4</c:v>
                </c:pt>
                <c:pt idx="17">
                  <c:v>-1.7206964036486341E-4</c:v>
                </c:pt>
                <c:pt idx="18">
                  <c:v>-1.4928567626693371E-4</c:v>
                </c:pt>
                <c:pt idx="19">
                  <c:v>-1.2440368361658579E-4</c:v>
                </c:pt>
                <c:pt idx="20">
                  <c:v>-9.7292274472182954E-5</c:v>
                </c:pt>
                <c:pt idx="21">
                  <c:v>-6.7812906702441095E-5</c:v>
                </c:pt>
                <c:pt idx="22">
                  <c:v>-3.5819521871964998E-5</c:v>
                </c:pt>
                <c:pt idx="23">
                  <c:v>-1.1581656043264943E-6</c:v>
                </c:pt>
                <c:pt idx="24">
                  <c:v>3.6333410399718271E-5</c:v>
                </c:pt>
                <c:pt idx="25">
                  <c:v>7.682616554905374E-5</c:v>
                </c:pt>
                <c:pt idx="26">
                  <c:v>1.2050020765369573E-4</c:v>
                </c:pt>
                <c:pt idx="27">
                  <c:v>1.6754525126183096E-4</c:v>
                </c:pt>
                <c:pt idx="28">
                  <c:v>2.1816109802637144E-4</c:v>
                </c:pt>
                <c:pt idx="29">
                  <c:v>2.7255814013005643E-4</c:v>
                </c:pt>
                <c:pt idx="30">
                  <c:v>3.309578878451933E-4</c:v>
                </c:pt>
                <c:pt idx="31">
                  <c:v>3.9359352235333346E-4</c:v>
                </c:pt>
                <c:pt idx="32">
                  <c:v>4.607104750015725E-4</c:v>
                </c:pt>
                <c:pt idx="33">
                  <c:v>5.3256703422590505E-4</c:v>
                </c:pt>
                <c:pt idx="34">
                  <c:v>6.0943498142818195E-4</c:v>
                </c:pt>
                <c:pt idx="35">
                  <c:v>6.9160025715187955E-4</c:v>
                </c:pt>
                <c:pt idx="36">
                  <c:v>6.7936365896318772E-4</c:v>
                </c:pt>
                <c:pt idx="37">
                  <c:v>6.6363616710255228E-4</c:v>
                </c:pt>
                <c:pt idx="38">
                  <c:v>6.4415808863331958E-4</c:v>
                </c:pt>
                <c:pt idx="39">
                  <c:v>6.2065454061377857E-4</c:v>
                </c:pt>
                <c:pt idx="40">
                  <c:v>5.9283465040545593E-4</c:v>
                </c:pt>
                <c:pt idx="41">
                  <c:v>5.6039071631007985E-4</c:v>
                </c:pt>
                <c:pt idx="42">
                  <c:v>5.2299732664101923E-4</c:v>
                </c:pt>
                <c:pt idx="43">
                  <c:v>4.8031043524693242E-4</c:v>
                </c:pt>
                <c:pt idx="44">
                  <c:v>4.3196639141328762E-4</c:v>
                </c:pt>
                <c:pt idx="45">
                  <c:v>3.7758092197115093E-4</c:v>
                </c:pt>
                <c:pt idx="46">
                  <c:v>3.1674806334197636E-4</c:v>
                </c:pt>
                <c:pt idx="47">
                  <c:v>2.4903904114190873E-4</c:v>
                </c:pt>
                <c:pt idx="48">
                  <c:v>1.7400109485908301E-4</c:v>
                </c:pt>
                <c:pt idx="49">
                  <c:v>9.1156245002398854E-5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D-D748-BCE7-AD0BA624FD81}"/>
            </c:ext>
          </c:extLst>
        </c:ser>
        <c:ser>
          <c:idx val="2"/>
          <c:order val="2"/>
          <c:tx>
            <c:strRef>
              <c:f>Mortgage!$AE$3</c:f>
              <c:strCache>
                <c:ptCount val="1"/>
                <c:pt idx="0">
                  <c:v>Bonds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Mortgage!$AE$4:$AE$54</c:f>
              <c:numCache>
                <c:formatCode>General</c:formatCode>
                <c:ptCount val="51"/>
                <c:pt idx="0">
                  <c:v>-1988.804734235156</c:v>
                </c:pt>
                <c:pt idx="1">
                  <c:v>-1952.2370067577035</c:v>
                </c:pt>
                <c:pt idx="2">
                  <c:v>-1914.9671789126828</c:v>
                </c:pt>
                <c:pt idx="3">
                  <c:v>-1876.9975910346541</c:v>
                </c:pt>
                <c:pt idx="4">
                  <c:v>-1838.3318940455283</c:v>
                </c:pt>
                <c:pt idx="5">
                  <c:v>-1798.9751505570218</c:v>
                </c:pt>
                <c:pt idx="6">
                  <c:v>-1758.9339419643684</c:v>
                </c:pt>
                <c:pt idx="7">
                  <c:v>-1718.2164818488156</c:v>
                </c:pt>
                <c:pt idx="8">
                  <c:v>-1676.8327360222827</c:v>
                </c:pt>
                <c:pt idx="9">
                  <c:v>-1634.7945495640738</c:v>
                </c:pt>
                <c:pt idx="10">
                  <c:v>-1592.1157812169768</c:v>
                </c:pt>
                <c:pt idx="11">
                  <c:v>-1548.8124455282148</c:v>
                </c:pt>
                <c:pt idx="12">
                  <c:v>-1504.9028631398126</c:v>
                </c:pt>
                <c:pt idx="13">
                  <c:v>-1460.407819652896</c:v>
                </c:pt>
                <c:pt idx="14">
                  <c:v>-1415.3507335114086</c:v>
                </c:pt>
                <c:pt idx="15">
                  <c:v>-1369.7578333725628</c:v>
                </c:pt>
                <c:pt idx="16">
                  <c:v>-1323.6583454543968</c:v>
                </c:pt>
                <c:pt idx="17">
                  <c:v>-1277.0846913747866</c:v>
                </c:pt>
                <c:pt idx="18">
                  <c:v>-1230.0726970214857</c:v>
                </c:pt>
                <c:pt idx="19">
                  <c:v>-1182.6618130191273</c:v>
                </c:pt>
                <c:pt idx="20">
                  <c:v>-1134.8953473867502</c:v>
                </c:pt>
                <c:pt idx="21">
                  <c:v>-1086.820711008359</c:v>
                </c:pt>
                <c:pt idx="22">
                  <c:v>-1038.4896765692818</c:v>
                </c:pt>
                <c:pt idx="23">
                  <c:v>-989.95865164287136</c:v>
                </c:pt>
                <c:pt idx="24">
                  <c:v>-941.28896664524177</c:v>
                </c:pt>
                <c:pt idx="25">
                  <c:v>-892.5471784105797</c:v>
                </c:pt>
                <c:pt idx="26">
                  <c:v>-843.80539017591673</c:v>
                </c:pt>
                <c:pt idx="27">
                  <c:v>-795.14158880242951</c:v>
                </c:pt>
                <c:pt idx="28">
                  <c:v>-746.64000010018719</c:v>
                </c:pt>
                <c:pt idx="29">
                  <c:v>-698.39146316508732</c:v>
                </c:pt>
                <c:pt idx="30">
                  <c:v>-650.49382468042404</c:v>
                </c:pt>
                <c:pt idx="31">
                  <c:v>-603.05235418132929</c:v>
                </c:pt>
                <c:pt idx="32">
                  <c:v>-556.18018132822363</c:v>
                </c:pt>
                <c:pt idx="33">
                  <c:v>-509.99875628558488</c:v>
                </c:pt>
                <c:pt idx="34">
                  <c:v>-464.63833435481496</c:v>
                </c:pt>
                <c:pt idx="35">
                  <c:v>-420.23848606493232</c:v>
                </c:pt>
                <c:pt idx="36">
                  <c:v>-376.94863398229649</c:v>
                </c:pt>
                <c:pt idx="37">
                  <c:v>-334.92861756075138</c:v>
                </c:pt>
                <c:pt idx="38">
                  <c:v>-294.34928741651635</c:v>
                </c:pt>
                <c:pt idx="39">
                  <c:v>-255.39313047805067</c:v>
                </c:pt>
                <c:pt idx="40">
                  <c:v>-218.25492753004687</c:v>
                </c:pt>
                <c:pt idx="41">
                  <c:v>-183.14244474284322</c:v>
                </c:pt>
                <c:pt idx="42">
                  <c:v>-150.27716085402051</c:v>
                </c:pt>
                <c:pt idx="43">
                  <c:v>-119.89503174790894</c:v>
                </c:pt>
                <c:pt idx="44">
                  <c:v>-92.247294261347406</c:v>
                </c:pt>
                <c:pt idx="45">
                  <c:v>-67.601311130469696</c:v>
                </c:pt>
                <c:pt idx="46">
                  <c:v>-46.241459083709003</c:v>
                </c:pt>
                <c:pt idx="47">
                  <c:v>-28.470062180804099</c:v>
                </c:pt>
                <c:pt idx="48">
                  <c:v>-14.608372596538274</c:v>
                </c:pt>
                <c:pt idx="49">
                  <c:v>-4.9976011514473049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0D-D748-BCE7-AD0BA624FD81}"/>
            </c:ext>
          </c:extLst>
        </c:ser>
        <c:ser>
          <c:idx val="3"/>
          <c:order val="3"/>
          <c:tx>
            <c:strRef>
              <c:f>Mortgage!$AF$3</c:f>
              <c:strCache>
                <c:ptCount val="1"/>
                <c:pt idx="0">
                  <c:v>Cash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Mortgage!$AF$4:$AF$54</c:f>
              <c:numCache>
                <c:formatCode>0</c:formatCode>
                <c:ptCount val="51"/>
                <c:pt idx="0">
                  <c:v>-159.4137274317427</c:v>
                </c:pt>
                <c:pt idx="1">
                  <c:v>-181.91019337587068</c:v>
                </c:pt>
                <c:pt idx="2">
                  <c:v>-204.54590922623447</c:v>
                </c:pt>
                <c:pt idx="3">
                  <c:v>-227.29602062982008</c:v>
                </c:pt>
                <c:pt idx="4">
                  <c:v>-250.13346208552548</c:v>
                </c:pt>
                <c:pt idx="5">
                  <c:v>-273.02881981927408</c:v>
                </c:pt>
                <c:pt idx="6">
                  <c:v>-295.95018722697932</c:v>
                </c:pt>
                <c:pt idx="7">
                  <c:v>-318.86301251018563</c:v>
                </c:pt>
                <c:pt idx="8">
                  <c:v>-341.72993811107926</c:v>
                </c:pt>
                <c:pt idx="9">
                  <c:v>-364.51063153462337</c:v>
                </c:pt>
                <c:pt idx="10">
                  <c:v>-387.16160712566852</c:v>
                </c:pt>
                <c:pt idx="11">
                  <c:v>-409.6360383481358</c:v>
                </c:pt>
                <c:pt idx="12">
                  <c:v>-431.8835600915927</c:v>
                </c:pt>
                <c:pt idx="13">
                  <c:v>-453.85006050776542</c:v>
                </c:pt>
                <c:pt idx="14">
                  <c:v>-475.47746185567939</c:v>
                </c:pt>
                <c:pt idx="15">
                  <c:v>-496.70348980920926</c:v>
                </c:pt>
                <c:pt idx="16">
                  <c:v>-517.46143065464639</c:v>
                </c:pt>
                <c:pt idx="17">
                  <c:v>-537.67987577861823</c:v>
                </c:pt>
                <c:pt idx="18">
                  <c:v>-557.28245281805539</c:v>
                </c:pt>
                <c:pt idx="19">
                  <c:v>-576.18754281399561</c:v>
                </c:pt>
                <c:pt idx="20">
                  <c:v>-594.30798267969703</c:v>
                </c:pt>
                <c:pt idx="21">
                  <c:v>-611.550752260747</c:v>
                </c:pt>
                <c:pt idx="22">
                  <c:v>-627.81664523058794</c:v>
                </c:pt>
                <c:pt idx="23">
                  <c:v>-642.99992302899307</c:v>
                </c:pt>
                <c:pt idx="24">
                  <c:v>-656.9879510134972</c:v>
                </c:pt>
                <c:pt idx="25">
                  <c:v>-669.6608159545093</c:v>
                </c:pt>
                <c:pt idx="26">
                  <c:v>-680.89092396377532</c:v>
                </c:pt>
                <c:pt idx="27">
                  <c:v>-690.54257790285044</c:v>
                </c:pt>
                <c:pt idx="28">
                  <c:v>-698.47153327330409</c:v>
                </c:pt>
                <c:pt idx="29">
                  <c:v>-704.52453154334376</c:v>
                </c:pt>
                <c:pt idx="30">
                  <c:v>-708.53880981634393</c:v>
                </c:pt>
                <c:pt idx="31">
                  <c:v>-710.34158569530996</c:v>
                </c:pt>
                <c:pt idx="32">
                  <c:v>-709.74951614348106</c:v>
                </c:pt>
                <c:pt idx="33">
                  <c:v>-706.56812908498819</c:v>
                </c:pt>
                <c:pt idx="34">
                  <c:v>-700.59122643058095</c:v>
                </c:pt>
                <c:pt idx="35">
                  <c:v>-691.60025715187965</c:v>
                </c:pt>
                <c:pt idx="36">
                  <c:v>-679.36365896318785</c:v>
                </c:pt>
                <c:pt idx="37">
                  <c:v>-663.63616710255258</c:v>
                </c:pt>
                <c:pt idx="38">
                  <c:v>-644.15808863331949</c:v>
                </c:pt>
                <c:pt idx="39">
                  <c:v>-620.65454061377852</c:v>
                </c:pt>
                <c:pt idx="40">
                  <c:v>-592.83465040545593</c:v>
                </c:pt>
                <c:pt idx="41">
                  <c:v>-560.3907163100796</c:v>
                </c:pt>
                <c:pt idx="42">
                  <c:v>-522.99732664101919</c:v>
                </c:pt>
                <c:pt idx="43">
                  <c:v>-480.31043524693229</c:v>
                </c:pt>
                <c:pt idx="44">
                  <c:v>-431.96639141328762</c:v>
                </c:pt>
                <c:pt idx="45">
                  <c:v>-377.58092197115081</c:v>
                </c:pt>
                <c:pt idx="46">
                  <c:v>-316.74806334197632</c:v>
                </c:pt>
                <c:pt idx="47">
                  <c:v>-249.03904114190865</c:v>
                </c:pt>
                <c:pt idx="48">
                  <c:v>-174.00109485908303</c:v>
                </c:pt>
                <c:pt idx="49">
                  <c:v>-91.156245002398848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0D-D748-BCE7-AD0BA624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Mortgage!$AM$4:$AM$54</c:f>
              <c:numCache>
                <c:formatCode>General</c:formatCode>
                <c:ptCount val="51"/>
                <c:pt idx="0">
                  <c:v>808.00466914958918</c:v>
                </c:pt>
                <c:pt idx="1">
                  <c:v>840.44213986619025</c:v>
                </c:pt>
                <c:pt idx="2">
                  <c:v>874.35817237441825</c:v>
                </c:pt>
                <c:pt idx="3">
                  <c:v>909.81983970371573</c:v>
                </c:pt>
                <c:pt idx="4">
                  <c:v>946.89724516313458</c:v>
                </c:pt>
                <c:pt idx="5">
                  <c:v>985.66365876681812</c:v>
                </c:pt>
                <c:pt idx="6">
                  <c:v>1026.1956597828896</c:v>
                </c:pt>
                <c:pt idx="7">
                  <c:v>1068.9341282318589</c:v>
                </c:pt>
                <c:pt idx="8">
                  <c:v>1114.0092853634731</c:v>
                </c:pt>
                <c:pt idx="9">
                  <c:v>1161.4314667088045</c:v>
                </c:pt>
                <c:pt idx="10">
                  <c:v>1211.2403135982279</c:v>
                </c:pt>
                <c:pt idx="11">
                  <c:v>1263.495611677424</c:v>
                </c:pt>
                <c:pt idx="12">
                  <c:v>1318.4800537826211</c:v>
                </c:pt>
                <c:pt idx="13">
                  <c:v>1376.355314144467</c:v>
                </c:pt>
                <c:pt idx="14">
                  <c:v>1437.2011467749878</c:v>
                </c:pt>
                <c:pt idx="15">
                  <c:v>1501.1134812324005</c:v>
                </c:pt>
                <c:pt idx="16">
                  <c:v>1568.2019536241326</c:v>
                </c:pt>
                <c:pt idx="17">
                  <c:v>1638.5882391380869</c:v>
                </c:pt>
                <c:pt idx="18">
                  <c:v>1712.4049250173707</c:v>
                </c:pt>
                <c:pt idx="19">
                  <c:v>1789.7947558319127</c:v>
                </c:pt>
                <c:pt idx="20">
                  <c:v>1870.9101404676917</c:v>
                </c:pt>
                <c:pt idx="21">
                  <c:v>1955.9128466658913</c:v>
                </c:pt>
                <c:pt idx="22">
                  <c:v>2044.9738324381401</c:v>
                </c:pt>
                <c:pt idx="23">
                  <c:v>2138.2731791289193</c:v>
                </c:pt>
                <c:pt idx="24">
                  <c:v>2236.000101227763</c:v>
                </c:pt>
                <c:pt idx="25">
                  <c:v>2338.3530150564034</c:v>
                </c:pt>
                <c:pt idx="26">
                  <c:v>2445.5396532995251</c:v>
                </c:pt>
                <c:pt idx="27">
                  <c:v>2557.7772157326326</c:v>
                </c:pt>
                <c:pt idx="28">
                  <c:v>2675.2925488933984</c:v>
                </c:pt>
                <c:pt idx="29">
                  <c:v>2798.3223491511367</c:v>
                </c:pt>
                <c:pt idx="30">
                  <c:v>2927.1133848580216</c:v>
                </c:pt>
                <c:pt idx="31">
                  <c:v>3061.9227341542837</c:v>
                </c:pt>
                <c:pt idx="32">
                  <c:v>3203.0180356432979</c:v>
                </c:pt>
                <c:pt idx="33">
                  <c:v>3350.6777496173481</c:v>
                </c:pt>
                <c:pt idx="34">
                  <c:v>3505.1914278472368</c:v>
                </c:pt>
                <c:pt idx="35">
                  <c:v>3666.8599901817538</c:v>
                </c:pt>
                <c:pt idx="36">
                  <c:v>3835.9960063596259</c:v>
                </c:pt>
                <c:pt idx="37">
                  <c:v>4012.7891270544756</c:v>
                </c:pt>
                <c:pt idx="38">
                  <c:v>4197.5886331892998</c:v>
                </c:pt>
                <c:pt idx="39">
                  <c:v>4390.7602403474866</c:v>
                </c:pt>
                <c:pt idx="40">
                  <c:v>4592.6868545077141</c:v>
                </c:pt>
                <c:pt idx="41">
                  <c:v>4803.769361688227</c:v>
                </c:pt>
                <c:pt idx="42">
                  <c:v>5024.4274530987987</c:v>
                </c:pt>
                <c:pt idx="43">
                  <c:v>5255.1004874700184</c:v>
                </c:pt>
                <c:pt idx="44">
                  <c:v>5496.2483923041218</c:v>
                </c:pt>
                <c:pt idx="45">
                  <c:v>5748.3526058692796</c:v>
                </c:pt>
                <c:pt idx="46">
                  <c:v>6011.9170618405069</c:v>
                </c:pt>
                <c:pt idx="47">
                  <c:v>6287.4692185751501</c:v>
                </c:pt>
                <c:pt idx="48">
                  <c:v>6575.5611350995187</c:v>
                </c:pt>
                <c:pt idx="49">
                  <c:v>6876.7705959757941</c:v>
                </c:pt>
                <c:pt idx="50">
                  <c:v>7160.8381206484364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4-4E46-8E5A-7F928F485AC0}"/>
            </c:ext>
          </c:extLst>
        </c:ser>
        <c:ser>
          <c:idx val="1"/>
          <c:order val="1"/>
          <c:tx>
            <c:strRef>
              <c:f>Mortgage!$AN$3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Mortgage!$AN$4:$AN$54</c:f>
              <c:numCache>
                <c:formatCode>0</c:formatCode>
                <c:ptCount val="51"/>
                <c:pt idx="0">
                  <c:v>-1031.5881336683574</c:v>
                </c:pt>
                <c:pt idx="1">
                  <c:v>-936.68841552385607</c:v>
                </c:pt>
                <c:pt idx="2">
                  <c:v>-840.56610121956282</c:v>
                </c:pt>
                <c:pt idx="3">
                  <c:v>-743.27487859209691</c:v>
                </c:pt>
                <c:pt idx="4">
                  <c:v>-644.87467159080359</c:v>
                </c:pt>
                <c:pt idx="5">
                  <c:v>-545.4320526062495</c:v>
                </c:pt>
                <c:pt idx="6">
                  <c:v>-445.02067777831451</c:v>
                </c:pt>
                <c:pt idx="7">
                  <c:v>-343.5413251852641</c:v>
                </c:pt>
                <c:pt idx="8">
                  <c:v>-241.05993727724251</c:v>
                </c:pt>
                <c:pt idx="9">
                  <c:v>-137.71282720021247</c:v>
                </c:pt>
                <c:pt idx="10">
                  <c:v>-33.632707578960776</c:v>
                </c:pt>
                <c:pt idx="11">
                  <c:v>71.046070920079615</c:v>
                </c:pt>
                <c:pt idx="12">
                  <c:v>176.28820826377512</c:v>
                </c:pt>
                <c:pt idx="13">
                  <c:v>281.98476270684193</c:v>
                </c:pt>
                <c:pt idx="14">
                  <c:v>387.97193202691403</c:v>
                </c:pt>
                <c:pt idx="15">
                  <c:v>494.07929302369382</c:v>
                </c:pt>
                <c:pt idx="16">
                  <c:v>600.12771620714841</c:v>
                </c:pt>
                <c:pt idx="17">
                  <c:v>705.92763671876082</c:v>
                </c:pt>
                <c:pt idx="18">
                  <c:v>811.27754874226821</c:v>
                </c:pt>
                <c:pt idx="19">
                  <c:v>915.96263702456724</c:v>
                </c:pt>
                <c:pt idx="20">
                  <c:v>1019.7534878014039</c:v>
                </c:pt>
                <c:pt idx="21">
                  <c:v>1122.4048395134864</c:v>
                </c:pt>
                <c:pt idx="22">
                  <c:v>1223.6543453254144</c:v>
                </c:pt>
                <c:pt idx="23">
                  <c:v>1323.221327056676</c:v>
                </c:pt>
                <c:pt idx="24">
                  <c:v>1420.8055051681604</c:v>
                </c:pt>
                <c:pt idx="25">
                  <c:v>1516.0856928214134</c:v>
                </c:pt>
                <c:pt idx="26">
                  <c:v>1608.7184443056258</c:v>
                </c:pt>
                <c:pt idx="27">
                  <c:v>1698.3366496692665</c:v>
                </c:pt>
                <c:pt idx="28">
                  <c:v>1784.5480684321456</c:v>
                </c:pt>
                <c:pt idx="29">
                  <c:v>1866.9337959431182</c:v>
                </c:pt>
                <c:pt idx="30">
                  <c:v>1945.0466563907471</c:v>
                </c:pt>
                <c:pt idx="31">
                  <c:v>2018.4095167383034</c:v>
                </c:pt>
                <c:pt idx="32">
                  <c:v>2086.5135159877432</c:v>
                </c:pt>
                <c:pt idx="33">
                  <c:v>2148.8162042125296</c:v>
                </c:pt>
                <c:pt idx="34">
                  <c:v>2204.7395857590818</c:v>
                </c:pt>
                <c:pt idx="35">
                  <c:v>2253.6680609173231</c:v>
                </c:pt>
                <c:pt idx="36">
                  <c:v>2294.9462602134754</c:v>
                </c:pt>
                <c:pt idx="37">
                  <c:v>2341.3228461593717</c:v>
                </c:pt>
                <c:pt idx="38">
                  <c:v>2393.1433096618789</c:v>
                </c:pt>
                <c:pt idx="39">
                  <c:v>2450.7729952586633</c:v>
                </c:pt>
                <c:pt idx="40">
                  <c:v>2514.5981365289763</c:v>
                </c:pt>
                <c:pt idx="41">
                  <c:v>2585.0269424445119</c:v>
                </c:pt>
                <c:pt idx="42">
                  <c:v>2662.4907371262589</c:v>
                </c:pt>
                <c:pt idx="43">
                  <c:v>2747.4451555878863</c:v>
                </c:pt>
                <c:pt idx="44">
                  <c:v>2840.371398166114</c:v>
                </c:pt>
                <c:pt idx="45">
                  <c:v>2941.7775464637984</c:v>
                </c:pt>
                <c:pt idx="46">
                  <c:v>3052.1999437625032</c:v>
                </c:pt>
                <c:pt idx="47">
                  <c:v>3172.204642998317</c:v>
                </c:pt>
                <c:pt idx="48">
                  <c:v>3302.3889255379249</c:v>
                </c:pt>
                <c:pt idx="49">
                  <c:v>3443.3828941417432</c:v>
                </c:pt>
                <c:pt idx="50">
                  <c:v>3580.4190603242182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4-4E46-8E5A-7F928F485AC0}"/>
            </c:ext>
          </c:extLst>
        </c:ser>
        <c:ser>
          <c:idx val="2"/>
          <c:order val="2"/>
          <c:tx>
            <c:strRef>
              <c:f>Mortgage!$AO$3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Mortgage!$AO$4:$AO$54</c:f>
              <c:numCache>
                <c:formatCode>0</c:formatCode>
                <c:ptCount val="51"/>
                <c:pt idx="0">
                  <c:v>323.58346451876855</c:v>
                </c:pt>
                <c:pt idx="1">
                  <c:v>350.62627565766593</c:v>
                </c:pt>
                <c:pt idx="2">
                  <c:v>381.72977284514423</c:v>
                </c:pt>
                <c:pt idx="3">
                  <c:v>417.1767396555806</c:v>
                </c:pt>
                <c:pt idx="4">
                  <c:v>457.26613768847301</c:v>
                </c:pt>
                <c:pt idx="5">
                  <c:v>502.31395065345805</c:v>
                </c:pt>
                <c:pt idx="6">
                  <c:v>552.65407019790655</c:v>
                </c:pt>
                <c:pt idx="7">
                  <c:v>609.26709151078285</c:v>
                </c:pt>
                <c:pt idx="8">
                  <c:v>672.60658834102287</c:v>
                </c:pt>
                <c:pt idx="9">
                  <c:v>742.93179855151948</c:v>
                </c:pt>
                <c:pt idx="10">
                  <c:v>820.56799539951999</c:v>
                </c:pt>
                <c:pt idx="11">
                  <c:v>905.89136401230098</c:v>
                </c:pt>
                <c:pt idx="12">
                  <c:v>999.68266757524361</c:v>
                </c:pt>
                <c:pt idx="13">
                  <c:v>1102.5297185573495</c:v>
                </c:pt>
                <c:pt idx="14">
                  <c:v>1214.8963574328682</c:v>
                </c:pt>
                <c:pt idx="15">
                  <c:v>1337.294134448045</c:v>
                </c:pt>
                <c:pt idx="16">
                  <c:v>1470.2790586025176</c:v>
                </c:pt>
                <c:pt idx="17">
                  <c:v>1614.4497935898262</c:v>
                </c:pt>
                <c:pt idx="18">
                  <c:v>1770.4468489214851</c:v>
                </c:pt>
                <c:pt idx="19">
                  <c:v>1938.9524762887545</c:v>
                </c:pt>
                <c:pt idx="20">
                  <c:v>2120.691081506056</c:v>
                </c:pt>
                <c:pt idx="21">
                  <c:v>2316.4300258643329</c:v>
                </c:pt>
                <c:pt idx="22">
                  <c:v>2526.9807317360915</c:v>
                </c:pt>
                <c:pt idx="23">
                  <c:v>2753.2000342881779</c:v>
                </c:pt>
                <c:pt idx="24">
                  <c:v>2995.991739281948</c:v>
                </c:pt>
                <c:pt idx="25">
                  <c:v>3256.3083593128445</c:v>
                </c:pt>
                <c:pt idx="26">
                  <c:v>3535.1530094295413</c:v>
                </c:pt>
                <c:pt idx="27">
                  <c:v>3833.5814491298311</c:v>
                </c:pt>
                <c:pt idx="28">
                  <c:v>4152.7042620693874</c:v>
                </c:pt>
                <c:pt idx="29">
                  <c:v>4493.6891679749615</c:v>
                </c:pt>
                <c:pt idx="30">
                  <c:v>4857.7634635835357</c:v>
                </c:pt>
                <c:pt idx="31">
                  <c:v>5246.2165911752991</c:v>
                </c:pt>
                <c:pt idx="32">
                  <c:v>5660.402834597573</c:v>
                </c:pt>
                <c:pt idx="33">
                  <c:v>6101.7441437044308</c:v>
                </c:pt>
                <c:pt idx="34">
                  <c:v>6571.7330889437917</c:v>
                </c:pt>
                <c:pt idx="35">
                  <c:v>7071.9359484678725</c:v>
                </c:pt>
                <c:pt idx="36">
                  <c:v>7353.9960306652756</c:v>
                </c:pt>
                <c:pt idx="37">
                  <c:v>7645.8885845411723</c:v>
                </c:pt>
                <c:pt idx="38">
                  <c:v>7947.9616662246099</c:v>
                </c:pt>
                <c:pt idx="39">
                  <c:v>8260.5767381638634</c:v>
                </c:pt>
                <c:pt idx="40">
                  <c:v>8584.1091844142247</c:v>
                </c:pt>
                <c:pt idx="41">
                  <c:v>8918.9488452568767</c:v>
                </c:pt>
                <c:pt idx="42">
                  <c:v>9265.5005720356003</c:v>
                </c:pt>
                <c:pt idx="43">
                  <c:v>9624.1848031343252</c:v>
                </c:pt>
                <c:pt idx="44">
                  <c:v>9995.4381620560653</c:v>
                </c:pt>
                <c:pt idx="45">
                  <c:v>10379.71407860277</c:v>
                </c:pt>
                <c:pt idx="46">
                  <c:v>10777.483434196391</c:v>
                </c:pt>
                <c:pt idx="47">
                  <c:v>11189.235232423624</c:v>
                </c:pt>
                <c:pt idx="48">
                  <c:v>11615.477295931147</c:v>
                </c:pt>
                <c:pt idx="49">
                  <c:v>12056.736990844031</c:v>
                </c:pt>
                <c:pt idx="50">
                  <c:v>12559.858229928275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04-4E46-8E5A-7F928F485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Portfolio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Mortgage!$AV$3</c:f>
              <c:strCache>
                <c:ptCount val="1"/>
                <c:pt idx="0">
                  <c:v>Stock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Mortgage!$AV$4:$AV$54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0.90507088153146908</c:v>
                </c:pt>
                <c:pt idx="7">
                  <c:v>0.80090376026947041</c:v>
                </c:pt>
                <c:pt idx="8">
                  <c:v>0.72078225000296336</c:v>
                </c:pt>
                <c:pt idx="9">
                  <c:v>0.65742007682296544</c:v>
                </c:pt>
                <c:pt idx="10">
                  <c:v>0.60617310747774011</c:v>
                </c:pt>
                <c:pt idx="11">
                  <c:v>0.56395151535071752</c:v>
                </c:pt>
                <c:pt idx="12">
                  <c:v>0.52856523979912839</c:v>
                </c:pt>
                <c:pt idx="13">
                  <c:v>0.49852235568419534</c:v>
                </c:pt>
                <c:pt idx="14">
                  <c:v>0.47275273704110199</c:v>
                </c:pt>
                <c:pt idx="15">
                  <c:v>0.45044842556219328</c:v>
                </c:pt>
                <c:pt idx="16">
                  <c:v>0.43098944422615859</c:v>
                </c:pt>
                <c:pt idx="17">
                  <c:v>0.41389301548732671</c:v>
                </c:pt>
                <c:pt idx="18">
                  <c:v>0.3987781448436204</c:v>
                </c:pt>
                <c:pt idx="19">
                  <c:v>0.38534048546745692</c:v>
                </c:pt>
                <c:pt idx="20">
                  <c:v>0.3733342077778477</c:v>
                </c:pt>
                <c:pt idx="21">
                  <c:v>0.36255872397875788</c:v>
                </c:pt>
                <c:pt idx="22">
                  <c:v>0.3528488316535992</c:v>
                </c:pt>
                <c:pt idx="23">
                  <c:v>0.34406730132964986</c:v>
                </c:pt>
                <c:pt idx="24">
                  <c:v>0.33609923541116538</c:v>
                </c:pt>
                <c:pt idx="25">
                  <c:v>0.32884772766643322</c:v>
                </c:pt>
                <c:pt idx="26">
                  <c:v>0.32223048913936592</c:v>
                </c:pt>
                <c:pt idx="27">
                  <c:v>0.31617720028812835</c:v>
                </c:pt>
                <c:pt idx="28">
                  <c:v>0.31062741458612275</c:v>
                </c:pt>
                <c:pt idx="29">
                  <c:v>0.30552888498614722</c:v>
                </c:pt>
                <c:pt idx="30">
                  <c:v>0.30083621761304585</c:v>
                </c:pt>
                <c:pt idx="31">
                  <c:v>0.29650978085541452</c:v>
                </c:pt>
                <c:pt idx="32">
                  <c:v>0.29251481540123492</c:v>
                </c:pt>
                <c:pt idx="33">
                  <c:v>0.28882070357037937</c:v>
                </c:pt>
                <c:pt idx="34">
                  <c:v>0.28540036582822964</c:v>
                </c:pt>
                <c:pt idx="35">
                  <c:v>0.28222975952090179</c:v>
                </c:pt>
                <c:pt idx="36">
                  <c:v>0.28446522496474541</c:v>
                </c:pt>
                <c:pt idx="37">
                  <c:v>0.28662778337045652</c:v>
                </c:pt>
                <c:pt idx="38">
                  <c:v>0.28871841900354461</c:v>
                </c:pt>
                <c:pt idx="39">
                  <c:v>0.29073819803812484</c:v>
                </c:pt>
                <c:pt idx="40">
                  <c:v>0.29268825976553081</c:v>
                </c:pt>
                <c:pt idx="41">
                  <c:v>0.29456980825261592</c:v>
                </c:pt>
                <c:pt idx="42">
                  <c:v>0.29638410444910313</c:v>
                </c:pt>
                <c:pt idx="43">
                  <c:v>0.29813245873997224</c:v>
                </c:pt>
                <c:pt idx="44">
                  <c:v>0.29981622393609636</c:v>
                </c:pt>
                <c:pt idx="45">
                  <c:v>0.3014367886940616</c:v>
                </c:pt>
                <c:pt idx="46">
                  <c:v>0.30299557135428784</c:v>
                </c:pt>
                <c:pt idx="47">
                  <c:v>0.30449401418513677</c:v>
                </c:pt>
                <c:pt idx="48">
                  <c:v>0.30593357801960636</c:v>
                </c:pt>
                <c:pt idx="49">
                  <c:v>0.30731573727040418</c:v>
                </c:pt>
                <c:pt idx="50">
                  <c:v>0.30731739637229516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E-EC40-89D1-F48D8A0AD88F}"/>
            </c:ext>
          </c:extLst>
        </c:ser>
        <c:ser>
          <c:idx val="1"/>
          <c:order val="1"/>
          <c:tx>
            <c:strRef>
              <c:f>Mortgage!$AW$3</c:f>
              <c:strCache>
                <c:ptCount val="1"/>
                <c:pt idx="0">
                  <c:v>Bond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Mortgage!$AW$4:$AW$54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3.1710865463078955E-2</c:v>
                </c:pt>
                <c:pt idx="12">
                  <c:v>7.0672149197384557E-2</c:v>
                </c:pt>
                <c:pt idx="13">
                  <c:v>0.10213620474815006</c:v>
                </c:pt>
                <c:pt idx="14">
                  <c:v>0.12761943112307014</c:v>
                </c:pt>
                <c:pt idx="15">
                  <c:v>0.14826143554628993</c:v>
                </c:pt>
                <c:pt idx="16">
                  <c:v>0.16493329208976729</c:v>
                </c:pt>
                <c:pt idx="17">
                  <c:v>0.17831112862805526</c:v>
                </c:pt>
                <c:pt idx="18">
                  <c:v>0.18892713464803876</c:v>
                </c:pt>
                <c:pt idx="19">
                  <c:v>0.19720556564992334</c:v>
                </c:pt>
                <c:pt idx="20">
                  <c:v>0.20348858679116694</c:v>
                </c:pt>
                <c:pt idx="21">
                  <c:v>0.20805511201343685</c:v>
                </c:pt>
                <c:pt idx="22">
                  <c:v>0.21113473397414881</c:v>
                </c:pt>
                <c:pt idx="23">
                  <c:v>0.21291816008640085</c:v>
                </c:pt>
                <c:pt idx="24">
                  <c:v>0.21356512626845855</c:v>
                </c:pt>
                <c:pt idx="25">
                  <c:v>0.2132104655805728</c:v>
                </c:pt>
                <c:pt idx="26">
                  <c:v>0.2119688104409696</c:v>
                </c:pt>
                <c:pt idx="27">
                  <c:v>0.20993827129910567</c:v>
                </c:pt>
                <c:pt idx="28">
                  <c:v>0.20720334040889404</c:v>
                </c:pt>
                <c:pt idx="29">
                  <c:v>0.2038372030979512</c:v>
                </c:pt>
                <c:pt idx="30">
                  <c:v>0.19990359178309591</c:v>
                </c:pt>
                <c:pt idx="31">
                  <c:v>0.1954582840412071</c:v>
                </c:pt>
                <c:pt idx="32">
                  <c:v>0.1905503213436498</c:v>
                </c:pt>
                <c:pt idx="33">
                  <c:v>0.18522300690210233</c:v>
                </c:pt>
                <c:pt idx="34">
                  <c:v>0.17951472759308731</c:v>
                </c:pt>
                <c:pt idx="35">
                  <c:v>0.17345963483080962</c:v>
                </c:pt>
                <c:pt idx="36">
                  <c:v>0.17018589255862332</c:v>
                </c:pt>
                <c:pt idx="37">
                  <c:v>0.16723733949156475</c:v>
                </c:pt>
                <c:pt idx="38">
                  <c:v>0.16460511336231459</c:v>
                </c:pt>
                <c:pt idx="39">
                  <c:v>0.16228017141414477</c:v>
                </c:pt>
                <c:pt idx="40">
                  <c:v>0.16025332793328517</c:v>
                </c:pt>
                <c:pt idx="41">
                  <c:v>0.15851528943848298</c:v>
                </c:pt>
                <c:pt idx="42">
                  <c:v>0.15705668757153846</c:v>
                </c:pt>
                <c:pt idx="43">
                  <c:v>0.15586810974246196</c:v>
                </c:pt>
                <c:pt idx="44">
                  <c:v>0.15494012759078629</c:v>
                </c:pt>
                <c:pt idx="45">
                  <c:v>0.15426332333074494</c:v>
                </c:pt>
                <c:pt idx="46">
                  <c:v>0.15382831405274289</c:v>
                </c:pt>
                <c:pt idx="47">
                  <c:v>0.15362577405701874</c:v>
                </c:pt>
                <c:pt idx="48">
                  <c:v>0.15364645529781848</c:v>
                </c:pt>
                <c:pt idx="49">
                  <c:v>0.1538812060179407</c:v>
                </c:pt>
                <c:pt idx="50">
                  <c:v>0.15365869818614758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6E-EC40-89D1-F48D8A0AD88F}"/>
            </c:ext>
          </c:extLst>
        </c:ser>
        <c:ser>
          <c:idx val="2"/>
          <c:order val="2"/>
          <c:tx>
            <c:strRef>
              <c:f>Mortgage!$AX$3</c:f>
              <c:strCache>
                <c:ptCount val="1"/>
                <c:pt idx="0">
                  <c:v>Cash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Mortgage!$AX$4:$AX$54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9.4929118468530929E-2</c:v>
                </c:pt>
                <c:pt idx="7">
                  <c:v>0.19909623973052959</c:v>
                </c:pt>
                <c:pt idx="8">
                  <c:v>0.27921774999703658</c:v>
                </c:pt>
                <c:pt idx="9">
                  <c:v>0.34257992317703462</c:v>
                </c:pt>
                <c:pt idx="10">
                  <c:v>0.39382689252225983</c:v>
                </c:pt>
                <c:pt idx="11">
                  <c:v>0.40433761918620353</c:v>
                </c:pt>
                <c:pt idx="12">
                  <c:v>0.40076261100348703</c:v>
                </c:pt>
                <c:pt idx="13">
                  <c:v>0.39934143956765467</c:v>
                </c:pt>
                <c:pt idx="14">
                  <c:v>0.3996278318358279</c:v>
                </c:pt>
                <c:pt idx="15">
                  <c:v>0.40129013889151682</c:v>
                </c:pt>
                <c:pt idx="16">
                  <c:v>0.4040772636840741</c:v>
                </c:pt>
                <c:pt idx="17">
                  <c:v>0.40779585588461803</c:v>
                </c:pt>
                <c:pt idx="18">
                  <c:v>0.41229472050834087</c:v>
                </c:pt>
                <c:pt idx="19">
                  <c:v>0.41745394888261989</c:v>
                </c:pt>
                <c:pt idx="20">
                  <c:v>0.42317720543098536</c:v>
                </c:pt>
                <c:pt idx="21">
                  <c:v>0.42938616400780527</c:v>
                </c:pt>
                <c:pt idx="22">
                  <c:v>0.43601643437225202</c:v>
                </c:pt>
                <c:pt idx="23">
                  <c:v>0.44301453858394935</c:v>
                </c:pt>
                <c:pt idx="24">
                  <c:v>0.4503356383203761</c:v>
                </c:pt>
                <c:pt idx="25">
                  <c:v>0.4579418067529939</c:v>
                </c:pt>
                <c:pt idx="26">
                  <c:v>0.46580070041966443</c:v>
                </c:pt>
                <c:pt idx="27">
                  <c:v>0.47388452841276596</c:v>
                </c:pt>
                <c:pt idx="28">
                  <c:v>0.48216924500498304</c:v>
                </c:pt>
                <c:pt idx="29">
                  <c:v>0.4906339119159015</c:v>
                </c:pt>
                <c:pt idx="30">
                  <c:v>0.49926019060385812</c:v>
                </c:pt>
                <c:pt idx="31">
                  <c:v>0.50803193510337841</c:v>
                </c:pt>
                <c:pt idx="32">
                  <c:v>0.51693486325511517</c:v>
                </c:pt>
                <c:pt idx="33">
                  <c:v>0.52595628952751827</c:v>
                </c:pt>
                <c:pt idx="34">
                  <c:v>0.53508490657868313</c:v>
                </c:pt>
                <c:pt idx="35">
                  <c:v>0.54431060564828859</c:v>
                </c:pt>
                <c:pt idx="36">
                  <c:v>0.54534888247663127</c:v>
                </c:pt>
                <c:pt idx="37">
                  <c:v>0.54613487713797881</c:v>
                </c:pt>
                <c:pt idx="38">
                  <c:v>0.54667646763414079</c:v>
                </c:pt>
                <c:pt idx="39">
                  <c:v>0.54698163054773041</c:v>
                </c:pt>
                <c:pt idx="40">
                  <c:v>0.54705841230118413</c:v>
                </c:pt>
                <c:pt idx="41">
                  <c:v>0.54691490230890116</c:v>
                </c:pt>
                <c:pt idx="42">
                  <c:v>0.54655920797935842</c:v>
                </c:pt>
                <c:pt idx="43">
                  <c:v>0.5459994315175658</c:v>
                </c:pt>
                <c:pt idx="44">
                  <c:v>0.54524364847311735</c:v>
                </c:pt>
                <c:pt idx="45">
                  <c:v>0.54429988797519346</c:v>
                </c:pt>
                <c:pt idx="46">
                  <c:v>0.54317611459296944</c:v>
                </c:pt>
                <c:pt idx="47">
                  <c:v>0.54188021175784451</c:v>
                </c:pt>
                <c:pt idx="48">
                  <c:v>0.54041996668257508</c:v>
                </c:pt>
                <c:pt idx="49">
                  <c:v>0.53880305671165507</c:v>
                </c:pt>
                <c:pt idx="50">
                  <c:v>0.53902390544155721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6E-EC40-89D1-F48D8A0AD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Total Wealth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Mortgage!$AI$3</c:f>
              <c:strCache>
                <c:ptCount val="1"/>
                <c:pt idx="0">
                  <c:v>Target Stock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Mortgage!$AI$4:$AI$54</c:f>
              <c:numCache>
                <c:formatCode>General</c:formatCode>
                <c:ptCount val="51"/>
                <c:pt idx="0">
                  <c:v>808.00466914958918</c:v>
                </c:pt>
                <c:pt idx="1">
                  <c:v>840.44213986619025</c:v>
                </c:pt>
                <c:pt idx="2">
                  <c:v>874.35817237441825</c:v>
                </c:pt>
                <c:pt idx="3">
                  <c:v>909.81983970371573</c:v>
                </c:pt>
                <c:pt idx="4">
                  <c:v>946.89724516313458</c:v>
                </c:pt>
                <c:pt idx="5">
                  <c:v>985.66365876681812</c:v>
                </c:pt>
                <c:pt idx="6">
                  <c:v>1026.1956597828896</c:v>
                </c:pt>
                <c:pt idx="7">
                  <c:v>1068.9341282318589</c:v>
                </c:pt>
                <c:pt idx="8">
                  <c:v>1114.0092853634731</c:v>
                </c:pt>
                <c:pt idx="9">
                  <c:v>1161.4314667088045</c:v>
                </c:pt>
                <c:pt idx="10">
                  <c:v>1211.2403135982279</c:v>
                </c:pt>
                <c:pt idx="11">
                  <c:v>1263.495611677424</c:v>
                </c:pt>
                <c:pt idx="12">
                  <c:v>1318.4800537826211</c:v>
                </c:pt>
                <c:pt idx="13">
                  <c:v>1376.355314144467</c:v>
                </c:pt>
                <c:pt idx="14">
                  <c:v>1437.2011467749878</c:v>
                </c:pt>
                <c:pt idx="15">
                  <c:v>1501.1134812324005</c:v>
                </c:pt>
                <c:pt idx="16">
                  <c:v>1568.2019536241326</c:v>
                </c:pt>
                <c:pt idx="17">
                  <c:v>1638.5882391380869</c:v>
                </c:pt>
                <c:pt idx="18">
                  <c:v>1712.4049250173707</c:v>
                </c:pt>
                <c:pt idx="19">
                  <c:v>1789.7947558319127</c:v>
                </c:pt>
                <c:pt idx="20">
                  <c:v>1870.9101404676917</c:v>
                </c:pt>
                <c:pt idx="21">
                  <c:v>1955.9128466658913</c:v>
                </c:pt>
                <c:pt idx="22">
                  <c:v>2044.9738324381401</c:v>
                </c:pt>
                <c:pt idx="23">
                  <c:v>2138.2731791289193</c:v>
                </c:pt>
                <c:pt idx="24">
                  <c:v>2236.000101227763</c:v>
                </c:pt>
                <c:pt idx="25">
                  <c:v>2338.3530150564034</c:v>
                </c:pt>
                <c:pt idx="26">
                  <c:v>2445.5396532995251</c:v>
                </c:pt>
                <c:pt idx="27">
                  <c:v>2557.7772157326326</c:v>
                </c:pt>
                <c:pt idx="28">
                  <c:v>2675.2925488933984</c:v>
                </c:pt>
                <c:pt idx="29">
                  <c:v>2798.3223491511367</c:v>
                </c:pt>
                <c:pt idx="30">
                  <c:v>2927.1133848580216</c:v>
                </c:pt>
                <c:pt idx="31">
                  <c:v>3061.9227341542837</c:v>
                </c:pt>
                <c:pt idx="32">
                  <c:v>3203.0180356432979</c:v>
                </c:pt>
                <c:pt idx="33">
                  <c:v>3350.6777496173481</c:v>
                </c:pt>
                <c:pt idx="34">
                  <c:v>3505.1914278472368</c:v>
                </c:pt>
                <c:pt idx="35">
                  <c:v>3666.8599901817538</c:v>
                </c:pt>
                <c:pt idx="36">
                  <c:v>3835.9960063596259</c:v>
                </c:pt>
                <c:pt idx="37">
                  <c:v>4012.7891270544756</c:v>
                </c:pt>
                <c:pt idx="38">
                  <c:v>4197.5886331892998</c:v>
                </c:pt>
                <c:pt idx="39">
                  <c:v>4390.7602403474866</c:v>
                </c:pt>
                <c:pt idx="40">
                  <c:v>4592.6868545077141</c:v>
                </c:pt>
                <c:pt idx="41">
                  <c:v>4803.769361688227</c:v>
                </c:pt>
                <c:pt idx="42">
                  <c:v>5024.4274530987987</c:v>
                </c:pt>
                <c:pt idx="43">
                  <c:v>5255.1004874700184</c:v>
                </c:pt>
                <c:pt idx="44">
                  <c:v>5496.2483923041218</c:v>
                </c:pt>
                <c:pt idx="45">
                  <c:v>5748.3526058692796</c:v>
                </c:pt>
                <c:pt idx="46">
                  <c:v>6011.9170618405069</c:v>
                </c:pt>
                <c:pt idx="47">
                  <c:v>6287.4692185751501</c:v>
                </c:pt>
                <c:pt idx="48">
                  <c:v>6575.5611350995187</c:v>
                </c:pt>
                <c:pt idx="49">
                  <c:v>6876.7705959757941</c:v>
                </c:pt>
                <c:pt idx="50">
                  <c:v>7160.8381206484364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4-F54A-B1B9-028C7C901654}"/>
            </c:ext>
          </c:extLst>
        </c:ser>
        <c:ser>
          <c:idx val="1"/>
          <c:order val="1"/>
          <c:tx>
            <c:strRef>
              <c:f>Mortgage!$AJ$3</c:f>
              <c:strCache>
                <c:ptCount val="1"/>
                <c:pt idx="0">
                  <c:v>Target Bond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Mortgage!$AJ$4:$AJ$54</c:f>
              <c:numCache>
                <c:formatCode>General</c:formatCode>
                <c:ptCount val="51"/>
                <c:pt idx="0">
                  <c:v>404.00233457479459</c:v>
                </c:pt>
                <c:pt idx="1">
                  <c:v>420.22106993309512</c:v>
                </c:pt>
                <c:pt idx="2">
                  <c:v>437.17908618720912</c:v>
                </c:pt>
                <c:pt idx="3">
                  <c:v>454.90991985185786</c:v>
                </c:pt>
                <c:pt idx="4">
                  <c:v>473.44862258156729</c:v>
                </c:pt>
                <c:pt idx="5">
                  <c:v>492.83182938340906</c:v>
                </c:pt>
                <c:pt idx="6">
                  <c:v>513.0978298914448</c:v>
                </c:pt>
                <c:pt idx="7">
                  <c:v>534.46706411592947</c:v>
                </c:pt>
                <c:pt idx="8">
                  <c:v>557.00464268173653</c:v>
                </c:pt>
                <c:pt idx="9">
                  <c:v>580.71573335440223</c:v>
                </c:pt>
                <c:pt idx="10">
                  <c:v>605.62015679911394</c:v>
                </c:pt>
                <c:pt idx="11">
                  <c:v>631.747805838712</c:v>
                </c:pt>
                <c:pt idx="12">
                  <c:v>659.24002689131055</c:v>
                </c:pt>
                <c:pt idx="13">
                  <c:v>688.1776570722335</c:v>
                </c:pt>
                <c:pt idx="14">
                  <c:v>718.60057338749391</c:v>
                </c:pt>
                <c:pt idx="15">
                  <c:v>750.55674061620027</c:v>
                </c:pt>
                <c:pt idx="16">
                  <c:v>784.10097681206628</c:v>
                </c:pt>
                <c:pt idx="17">
                  <c:v>819.29411956904346</c:v>
                </c:pt>
                <c:pt idx="18">
                  <c:v>856.20246250868536</c:v>
                </c:pt>
                <c:pt idx="19">
                  <c:v>894.89737791595633</c:v>
                </c:pt>
                <c:pt idx="20">
                  <c:v>935.45507023384584</c:v>
                </c:pt>
                <c:pt idx="21">
                  <c:v>977.95642333294563</c:v>
                </c:pt>
                <c:pt idx="22">
                  <c:v>1022.4869162190701</c:v>
                </c:pt>
                <c:pt idx="23">
                  <c:v>1069.1365895644597</c:v>
                </c:pt>
                <c:pt idx="24">
                  <c:v>1118.0000506138815</c:v>
                </c:pt>
                <c:pt idx="25">
                  <c:v>1169.1765075282017</c:v>
                </c:pt>
                <c:pt idx="26">
                  <c:v>1222.7698266497625</c:v>
                </c:pt>
                <c:pt idx="27">
                  <c:v>1278.8886078663163</c:v>
                </c:pt>
                <c:pt idx="28">
                  <c:v>1337.6462744466992</c:v>
                </c:pt>
                <c:pt idx="29">
                  <c:v>1399.1611745755683</c:v>
                </c:pt>
                <c:pt idx="30">
                  <c:v>1463.5566924290108</c:v>
                </c:pt>
                <c:pt idx="31">
                  <c:v>1530.9613670771419</c:v>
                </c:pt>
                <c:pt idx="32">
                  <c:v>1601.509017821649</c:v>
                </c:pt>
                <c:pt idx="33">
                  <c:v>1675.3388748086741</c:v>
                </c:pt>
                <c:pt idx="34">
                  <c:v>1752.5957139236184</c:v>
                </c:pt>
                <c:pt idx="35">
                  <c:v>1833.4299950908769</c:v>
                </c:pt>
                <c:pt idx="36">
                  <c:v>1917.9980031798129</c:v>
                </c:pt>
                <c:pt idx="37">
                  <c:v>2006.3945635272378</c:v>
                </c:pt>
                <c:pt idx="38">
                  <c:v>2098.7943165946499</c:v>
                </c:pt>
                <c:pt idx="39">
                  <c:v>2195.3801201737433</c:v>
                </c:pt>
                <c:pt idx="40">
                  <c:v>2296.343427253857</c:v>
                </c:pt>
                <c:pt idx="41">
                  <c:v>2401.8846808441135</c:v>
                </c:pt>
                <c:pt idx="42">
                  <c:v>2512.2137265493993</c:v>
                </c:pt>
                <c:pt idx="43">
                  <c:v>2627.5502437350092</c:v>
                </c:pt>
                <c:pt idx="44">
                  <c:v>2748.1241961520609</c:v>
                </c:pt>
                <c:pt idx="45">
                  <c:v>2874.1763029346398</c:v>
                </c:pt>
                <c:pt idx="46">
                  <c:v>3005.9585309202535</c:v>
                </c:pt>
                <c:pt idx="47">
                  <c:v>3143.734609287575</c:v>
                </c:pt>
                <c:pt idx="48">
                  <c:v>3287.7805675497593</c:v>
                </c:pt>
                <c:pt idx="49">
                  <c:v>3438.385297987897</c:v>
                </c:pt>
                <c:pt idx="50">
                  <c:v>3580.4190603242182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34-F54A-B1B9-028C7C901654}"/>
            </c:ext>
          </c:extLst>
        </c:ser>
        <c:ser>
          <c:idx val="2"/>
          <c:order val="2"/>
          <c:tx>
            <c:strRef>
              <c:f>Mortgage!$AK$3</c:f>
              <c:strCache>
                <c:ptCount val="1"/>
                <c:pt idx="0">
                  <c:v>Target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Mortgage!$AK$4:$AK$54</c:f>
              <c:numCache>
                <c:formatCode>0</c:formatCode>
                <c:ptCount val="51"/>
                <c:pt idx="0">
                  <c:v>1405.928124320285</c:v>
                </c:pt>
                <c:pt idx="1">
                  <c:v>1462.3693233671709</c:v>
                </c:pt>
                <c:pt idx="2">
                  <c:v>1521.3832199314875</c:v>
                </c:pt>
                <c:pt idx="3">
                  <c:v>1583.0865210844649</c:v>
                </c:pt>
                <c:pt idx="4">
                  <c:v>1647.601206583854</c:v>
                </c:pt>
                <c:pt idx="5">
                  <c:v>1715.0547662542631</c:v>
                </c:pt>
                <c:pt idx="6">
                  <c:v>1785.5804480222282</c:v>
                </c:pt>
                <c:pt idx="7">
                  <c:v>1859.9453831234337</c:v>
                </c:pt>
                <c:pt idx="8">
                  <c:v>1938.3761565324426</c:v>
                </c:pt>
                <c:pt idx="9">
                  <c:v>2020.8907520733187</c:v>
                </c:pt>
                <c:pt idx="10">
                  <c:v>2107.5581456609161</c:v>
                </c:pt>
                <c:pt idx="11">
                  <c:v>2198.4823643187178</c:v>
                </c:pt>
                <c:pt idx="12">
                  <c:v>2294.1552935817599</c:v>
                </c:pt>
                <c:pt idx="13">
                  <c:v>2394.8582466113717</c:v>
                </c:pt>
                <c:pt idx="14">
                  <c:v>2500.7299953884781</c:v>
                </c:pt>
                <c:pt idx="15">
                  <c:v>2611.9374573443761</c:v>
                </c:pt>
                <c:pt idx="16">
                  <c:v>2728.6713993059907</c:v>
                </c:pt>
                <c:pt idx="17">
                  <c:v>2851.1435361002705</c:v>
                </c:pt>
                <c:pt idx="18">
                  <c:v>2979.5845695302241</c:v>
                </c:pt>
                <c:pt idx="19">
                  <c:v>3114.2428751475268</c:v>
                </c:pt>
                <c:pt idx="20">
                  <c:v>3255.3836444137833</c:v>
                </c:pt>
                <c:pt idx="21">
                  <c:v>3403.2883531986499</c:v>
                </c:pt>
                <c:pt idx="22">
                  <c:v>3558.2544684423628</c:v>
                </c:pt>
                <c:pt idx="23">
                  <c:v>3720.5953316843188</c:v>
                </c:pt>
                <c:pt idx="24">
                  <c:v>3890.6401761363077</c:v>
                </c:pt>
                <c:pt idx="25">
                  <c:v>4068.7342461981407</c:v>
                </c:pt>
                <c:pt idx="26">
                  <c:v>4255.2389967411727</c:v>
                </c:pt>
                <c:pt idx="27">
                  <c:v>4450.5323553747803</c:v>
                </c:pt>
                <c:pt idx="28">
                  <c:v>4655.0090350745122</c:v>
                </c:pt>
                <c:pt idx="29">
                  <c:v>4869.0808875229768</c:v>
                </c:pt>
                <c:pt idx="30">
                  <c:v>5093.1772896529565</c:v>
                </c:pt>
                <c:pt idx="31">
                  <c:v>5327.7455574284522</c:v>
                </c:pt>
                <c:pt idx="32">
                  <c:v>5573.2513820193381</c:v>
                </c:pt>
                <c:pt idx="33">
                  <c:v>5830.1792843341846</c:v>
                </c:pt>
                <c:pt idx="34">
                  <c:v>6099.0330844541895</c:v>
                </c:pt>
                <c:pt idx="35">
                  <c:v>6380.3363829162499</c:v>
                </c:pt>
                <c:pt idx="36">
                  <c:v>6674.6330510657463</c:v>
                </c:pt>
                <c:pt idx="37">
                  <c:v>6982.2530810747867</c:v>
                </c:pt>
                <c:pt idx="38">
                  <c:v>7303.8042217493794</c:v>
                </c:pt>
                <c:pt idx="39">
                  <c:v>7639.9228182046254</c:v>
                </c:pt>
                <c:pt idx="40">
                  <c:v>7991.2751268434195</c:v>
                </c:pt>
                <c:pt idx="41">
                  <c:v>8358.558689337513</c:v>
                </c:pt>
                <c:pt idx="42">
                  <c:v>8742.5037683919072</c:v>
                </c:pt>
                <c:pt idx="43">
                  <c:v>9143.8748481978273</c:v>
                </c:pt>
                <c:pt idx="44">
                  <c:v>9563.4722026091695</c:v>
                </c:pt>
                <c:pt idx="45">
                  <c:v>10002.133534212542</c:v>
                </c:pt>
                <c:pt idx="46">
                  <c:v>10460.735687602477</c:v>
                </c:pt>
                <c:pt idx="47">
                  <c:v>10940.196440320757</c:v>
                </c:pt>
                <c:pt idx="48">
                  <c:v>11441.476375073158</c:v>
                </c:pt>
                <c:pt idx="49">
                  <c:v>11965.580836997877</c:v>
                </c:pt>
                <c:pt idx="50">
                  <c:v>12459.858329928275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34-F54A-B1B9-028C7C901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Mortgage!$AM$4:$AM$54</c:f>
              <c:numCache>
                <c:formatCode>General</c:formatCode>
                <c:ptCount val="51"/>
                <c:pt idx="0">
                  <c:v>808.00466914958918</c:v>
                </c:pt>
                <c:pt idx="1">
                  <c:v>840.44213986619025</c:v>
                </c:pt>
                <c:pt idx="2">
                  <c:v>874.35817237441825</c:v>
                </c:pt>
                <c:pt idx="3">
                  <c:v>909.81983970371573</c:v>
                </c:pt>
                <c:pt idx="4">
                  <c:v>946.89724516313458</c:v>
                </c:pt>
                <c:pt idx="5">
                  <c:v>985.66365876681812</c:v>
                </c:pt>
                <c:pt idx="6">
                  <c:v>1026.1956597828896</c:v>
                </c:pt>
                <c:pt idx="7">
                  <c:v>1068.9341282318589</c:v>
                </c:pt>
                <c:pt idx="8">
                  <c:v>1114.0092853634731</c:v>
                </c:pt>
                <c:pt idx="9">
                  <c:v>1161.4314667088045</c:v>
                </c:pt>
                <c:pt idx="10">
                  <c:v>1211.2403135982279</c:v>
                </c:pt>
                <c:pt idx="11">
                  <c:v>1263.495611677424</c:v>
                </c:pt>
                <c:pt idx="12">
                  <c:v>1318.4800537826211</c:v>
                </c:pt>
                <c:pt idx="13">
                  <c:v>1376.355314144467</c:v>
                </c:pt>
                <c:pt idx="14">
                  <c:v>1437.2011467749878</c:v>
                </c:pt>
                <c:pt idx="15">
                  <c:v>1501.1134812324005</c:v>
                </c:pt>
                <c:pt idx="16">
                  <c:v>1568.2019536241326</c:v>
                </c:pt>
                <c:pt idx="17">
                  <c:v>1638.5882391380869</c:v>
                </c:pt>
                <c:pt idx="18">
                  <c:v>1712.4049250173707</c:v>
                </c:pt>
                <c:pt idx="19">
                  <c:v>1789.7947558319127</c:v>
                </c:pt>
                <c:pt idx="20">
                  <c:v>1870.9101404676917</c:v>
                </c:pt>
                <c:pt idx="21">
                  <c:v>1955.9128466658913</c:v>
                </c:pt>
                <c:pt idx="22">
                  <c:v>2044.9738324381401</c:v>
                </c:pt>
                <c:pt idx="23">
                  <c:v>2138.2731791289193</c:v>
                </c:pt>
                <c:pt idx="24">
                  <c:v>2236.000101227763</c:v>
                </c:pt>
                <c:pt idx="25">
                  <c:v>2338.3530150564034</c:v>
                </c:pt>
                <c:pt idx="26">
                  <c:v>2445.5396532995251</c:v>
                </c:pt>
                <c:pt idx="27">
                  <c:v>2557.7772157326326</c:v>
                </c:pt>
                <c:pt idx="28">
                  <c:v>2675.2925488933984</c:v>
                </c:pt>
                <c:pt idx="29">
                  <c:v>2798.3223491511367</c:v>
                </c:pt>
                <c:pt idx="30">
                  <c:v>2927.1133848580216</c:v>
                </c:pt>
                <c:pt idx="31">
                  <c:v>3061.9227341542837</c:v>
                </c:pt>
                <c:pt idx="32">
                  <c:v>3203.0180356432979</c:v>
                </c:pt>
                <c:pt idx="33">
                  <c:v>3350.6777496173481</c:v>
                </c:pt>
                <c:pt idx="34">
                  <c:v>3505.1914278472368</c:v>
                </c:pt>
                <c:pt idx="35">
                  <c:v>3666.8599901817538</c:v>
                </c:pt>
                <c:pt idx="36">
                  <c:v>3835.9960063596259</c:v>
                </c:pt>
                <c:pt idx="37">
                  <c:v>4012.7891270544756</c:v>
                </c:pt>
                <c:pt idx="38">
                  <c:v>4197.5886331892998</c:v>
                </c:pt>
                <c:pt idx="39">
                  <c:v>4390.7602403474866</c:v>
                </c:pt>
                <c:pt idx="40">
                  <c:v>4592.6868545077141</c:v>
                </c:pt>
                <c:pt idx="41">
                  <c:v>4803.769361688227</c:v>
                </c:pt>
                <c:pt idx="42">
                  <c:v>5024.4274530987987</c:v>
                </c:pt>
                <c:pt idx="43">
                  <c:v>5255.1004874700184</c:v>
                </c:pt>
                <c:pt idx="44">
                  <c:v>5496.2483923041218</c:v>
                </c:pt>
                <c:pt idx="45">
                  <c:v>5748.3526058692796</c:v>
                </c:pt>
                <c:pt idx="46">
                  <c:v>6011.9170618405069</c:v>
                </c:pt>
                <c:pt idx="47">
                  <c:v>6287.4692185751501</c:v>
                </c:pt>
                <c:pt idx="48">
                  <c:v>6575.5611350995187</c:v>
                </c:pt>
                <c:pt idx="49">
                  <c:v>6876.7705959757941</c:v>
                </c:pt>
                <c:pt idx="50">
                  <c:v>7160.8381206484364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C-0C42-B912-44C2BCF5643A}"/>
            </c:ext>
          </c:extLst>
        </c:ser>
        <c:ser>
          <c:idx val="1"/>
          <c:order val="1"/>
          <c:tx>
            <c:strRef>
              <c:f>Mortgage!$AN$3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Mortgage!$AN$4:$AN$54</c:f>
              <c:numCache>
                <c:formatCode>0</c:formatCode>
                <c:ptCount val="51"/>
                <c:pt idx="0">
                  <c:v>-1031.5881336683574</c:v>
                </c:pt>
                <c:pt idx="1">
                  <c:v>-936.68841552385607</c:v>
                </c:pt>
                <c:pt idx="2">
                  <c:v>-840.56610121956282</c:v>
                </c:pt>
                <c:pt idx="3">
                  <c:v>-743.27487859209691</c:v>
                </c:pt>
                <c:pt idx="4">
                  <c:v>-644.87467159080359</c:v>
                </c:pt>
                <c:pt idx="5">
                  <c:v>-545.4320526062495</c:v>
                </c:pt>
                <c:pt idx="6">
                  <c:v>-445.02067777831451</c:v>
                </c:pt>
                <c:pt idx="7">
                  <c:v>-343.5413251852641</c:v>
                </c:pt>
                <c:pt idx="8">
                  <c:v>-241.05993727724251</c:v>
                </c:pt>
                <c:pt idx="9">
                  <c:v>-137.71282720021247</c:v>
                </c:pt>
                <c:pt idx="10">
                  <c:v>-33.632707578960776</c:v>
                </c:pt>
                <c:pt idx="11">
                  <c:v>71.046070920079615</c:v>
                </c:pt>
                <c:pt idx="12">
                  <c:v>176.28820826377512</c:v>
                </c:pt>
                <c:pt idx="13">
                  <c:v>281.98476270684193</c:v>
                </c:pt>
                <c:pt idx="14">
                  <c:v>387.97193202691403</c:v>
                </c:pt>
                <c:pt idx="15">
                  <c:v>494.07929302369382</c:v>
                </c:pt>
                <c:pt idx="16">
                  <c:v>600.12771620714841</c:v>
                </c:pt>
                <c:pt idx="17">
                  <c:v>705.92763671876082</c:v>
                </c:pt>
                <c:pt idx="18">
                  <c:v>811.27754874226821</c:v>
                </c:pt>
                <c:pt idx="19">
                  <c:v>915.96263702456724</c:v>
                </c:pt>
                <c:pt idx="20">
                  <c:v>1019.7534878014039</c:v>
                </c:pt>
                <c:pt idx="21">
                  <c:v>1122.4048395134864</c:v>
                </c:pt>
                <c:pt idx="22">
                  <c:v>1223.6543453254144</c:v>
                </c:pt>
                <c:pt idx="23">
                  <c:v>1323.221327056676</c:v>
                </c:pt>
                <c:pt idx="24">
                  <c:v>1420.8055051681604</c:v>
                </c:pt>
                <c:pt idx="25">
                  <c:v>1516.0856928214134</c:v>
                </c:pt>
                <c:pt idx="26">
                  <c:v>1608.7184443056258</c:v>
                </c:pt>
                <c:pt idx="27">
                  <c:v>1698.3366496692665</c:v>
                </c:pt>
                <c:pt idx="28">
                  <c:v>1784.5480684321456</c:v>
                </c:pt>
                <c:pt idx="29">
                  <c:v>1866.9337959431182</c:v>
                </c:pt>
                <c:pt idx="30">
                  <c:v>1945.0466563907471</c:v>
                </c:pt>
                <c:pt idx="31">
                  <c:v>2018.4095167383034</c:v>
                </c:pt>
                <c:pt idx="32">
                  <c:v>2086.5135159877432</c:v>
                </c:pt>
                <c:pt idx="33">
                  <c:v>2148.8162042125296</c:v>
                </c:pt>
                <c:pt idx="34">
                  <c:v>2204.7395857590818</c:v>
                </c:pt>
                <c:pt idx="35">
                  <c:v>2253.6680609173231</c:v>
                </c:pt>
                <c:pt idx="36">
                  <c:v>2294.9462602134754</c:v>
                </c:pt>
                <c:pt idx="37">
                  <c:v>2341.3228461593717</c:v>
                </c:pt>
                <c:pt idx="38">
                  <c:v>2393.1433096618789</c:v>
                </c:pt>
                <c:pt idx="39">
                  <c:v>2450.7729952586633</c:v>
                </c:pt>
                <c:pt idx="40">
                  <c:v>2514.5981365289763</c:v>
                </c:pt>
                <c:pt idx="41">
                  <c:v>2585.0269424445119</c:v>
                </c:pt>
                <c:pt idx="42">
                  <c:v>2662.4907371262589</c:v>
                </c:pt>
                <c:pt idx="43">
                  <c:v>2747.4451555878863</c:v>
                </c:pt>
                <c:pt idx="44">
                  <c:v>2840.371398166114</c:v>
                </c:pt>
                <c:pt idx="45">
                  <c:v>2941.7775464637984</c:v>
                </c:pt>
                <c:pt idx="46">
                  <c:v>3052.1999437625032</c:v>
                </c:pt>
                <c:pt idx="47">
                  <c:v>3172.204642998317</c:v>
                </c:pt>
                <c:pt idx="48">
                  <c:v>3302.3889255379249</c:v>
                </c:pt>
                <c:pt idx="49">
                  <c:v>3443.3828941417432</c:v>
                </c:pt>
                <c:pt idx="50">
                  <c:v>3580.4190603242182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9C-0C42-B912-44C2BCF5643A}"/>
            </c:ext>
          </c:extLst>
        </c:ser>
        <c:ser>
          <c:idx val="2"/>
          <c:order val="2"/>
          <c:tx>
            <c:strRef>
              <c:f>Mortgage!$AO$3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Mortgage!$AO$4:$AO$54</c:f>
              <c:numCache>
                <c:formatCode>0</c:formatCode>
                <c:ptCount val="51"/>
                <c:pt idx="0">
                  <c:v>323.58346451876855</c:v>
                </c:pt>
                <c:pt idx="1">
                  <c:v>350.62627565766593</c:v>
                </c:pt>
                <c:pt idx="2">
                  <c:v>381.72977284514423</c:v>
                </c:pt>
                <c:pt idx="3">
                  <c:v>417.1767396555806</c:v>
                </c:pt>
                <c:pt idx="4">
                  <c:v>457.26613768847301</c:v>
                </c:pt>
                <c:pt idx="5">
                  <c:v>502.31395065345805</c:v>
                </c:pt>
                <c:pt idx="6">
                  <c:v>552.65407019790655</c:v>
                </c:pt>
                <c:pt idx="7">
                  <c:v>609.26709151078285</c:v>
                </c:pt>
                <c:pt idx="8">
                  <c:v>672.60658834102287</c:v>
                </c:pt>
                <c:pt idx="9">
                  <c:v>742.93179855151948</c:v>
                </c:pt>
                <c:pt idx="10">
                  <c:v>820.56799539951999</c:v>
                </c:pt>
                <c:pt idx="11">
                  <c:v>905.89136401230098</c:v>
                </c:pt>
                <c:pt idx="12">
                  <c:v>999.68266757524361</c:v>
                </c:pt>
                <c:pt idx="13">
                  <c:v>1102.5297185573495</c:v>
                </c:pt>
                <c:pt idx="14">
                  <c:v>1214.8963574328682</c:v>
                </c:pt>
                <c:pt idx="15">
                  <c:v>1337.294134448045</c:v>
                </c:pt>
                <c:pt idx="16">
                  <c:v>1470.2790586025176</c:v>
                </c:pt>
                <c:pt idx="17">
                  <c:v>1614.4497935898262</c:v>
                </c:pt>
                <c:pt idx="18">
                  <c:v>1770.4468489214851</c:v>
                </c:pt>
                <c:pt idx="19">
                  <c:v>1938.9524762887545</c:v>
                </c:pt>
                <c:pt idx="20">
                  <c:v>2120.691081506056</c:v>
                </c:pt>
                <c:pt idx="21">
                  <c:v>2316.4300258643329</c:v>
                </c:pt>
                <c:pt idx="22">
                  <c:v>2526.9807317360915</c:v>
                </c:pt>
                <c:pt idx="23">
                  <c:v>2753.2000342881779</c:v>
                </c:pt>
                <c:pt idx="24">
                  <c:v>2995.991739281948</c:v>
                </c:pt>
                <c:pt idx="25">
                  <c:v>3256.3083593128445</c:v>
                </c:pt>
                <c:pt idx="26">
                  <c:v>3535.1530094295413</c:v>
                </c:pt>
                <c:pt idx="27">
                  <c:v>3833.5814491298311</c:v>
                </c:pt>
                <c:pt idx="28">
                  <c:v>4152.7042620693874</c:v>
                </c:pt>
                <c:pt idx="29">
                  <c:v>4493.6891679749615</c:v>
                </c:pt>
                <c:pt idx="30">
                  <c:v>4857.7634635835357</c:v>
                </c:pt>
                <c:pt idx="31">
                  <c:v>5246.2165911752991</c:v>
                </c:pt>
                <c:pt idx="32">
                  <c:v>5660.402834597573</c:v>
                </c:pt>
                <c:pt idx="33">
                  <c:v>6101.7441437044308</c:v>
                </c:pt>
                <c:pt idx="34">
                  <c:v>6571.7330889437917</c:v>
                </c:pt>
                <c:pt idx="35">
                  <c:v>7071.9359484678725</c:v>
                </c:pt>
                <c:pt idx="36">
                  <c:v>7353.9960306652756</c:v>
                </c:pt>
                <c:pt idx="37">
                  <c:v>7645.8885845411723</c:v>
                </c:pt>
                <c:pt idx="38">
                  <c:v>7947.9616662246099</c:v>
                </c:pt>
                <c:pt idx="39">
                  <c:v>8260.5767381638634</c:v>
                </c:pt>
                <c:pt idx="40">
                  <c:v>8584.1091844142247</c:v>
                </c:pt>
                <c:pt idx="41">
                  <c:v>8918.9488452568767</c:v>
                </c:pt>
                <c:pt idx="42">
                  <c:v>9265.5005720356003</c:v>
                </c:pt>
                <c:pt idx="43">
                  <c:v>9624.1848031343252</c:v>
                </c:pt>
                <c:pt idx="44">
                  <c:v>9995.4381620560653</c:v>
                </c:pt>
                <c:pt idx="45">
                  <c:v>10379.71407860277</c:v>
                </c:pt>
                <c:pt idx="46">
                  <c:v>10777.483434196391</c:v>
                </c:pt>
                <c:pt idx="47">
                  <c:v>11189.235232423624</c:v>
                </c:pt>
                <c:pt idx="48">
                  <c:v>11615.477295931147</c:v>
                </c:pt>
                <c:pt idx="49">
                  <c:v>12056.736990844031</c:v>
                </c:pt>
                <c:pt idx="50">
                  <c:v>12559.858229928275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9C-0C42-B912-44C2BCF56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 at Beginning of Life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Mortgage!$AM$3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Mortgage!$H$4:$H$14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Mortgage!$AM$4:$AM$14</c:f>
              <c:numCache>
                <c:formatCode>General</c:formatCode>
                <c:ptCount val="11"/>
                <c:pt idx="0">
                  <c:v>808.00466914958918</c:v>
                </c:pt>
                <c:pt idx="1">
                  <c:v>840.44213986619025</c:v>
                </c:pt>
                <c:pt idx="2">
                  <c:v>874.35817237441825</c:v>
                </c:pt>
                <c:pt idx="3">
                  <c:v>909.81983970371573</c:v>
                </c:pt>
                <c:pt idx="4">
                  <c:v>946.89724516313458</c:v>
                </c:pt>
                <c:pt idx="5">
                  <c:v>985.66365876681812</c:v>
                </c:pt>
                <c:pt idx="6">
                  <c:v>1026.1956597828896</c:v>
                </c:pt>
                <c:pt idx="7">
                  <c:v>1068.9341282318589</c:v>
                </c:pt>
                <c:pt idx="8">
                  <c:v>1114.0092853634731</c:v>
                </c:pt>
                <c:pt idx="9">
                  <c:v>1161.4314667088045</c:v>
                </c:pt>
                <c:pt idx="10">
                  <c:v>1211.2403135982279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6-304F-883C-A4DD44F07AC1}"/>
            </c:ext>
          </c:extLst>
        </c:ser>
        <c:ser>
          <c:idx val="1"/>
          <c:order val="1"/>
          <c:tx>
            <c:strRef>
              <c:f>Mortgage!$AN$3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Mortgage!$H$4:$H$14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Mortgage!$AN$4:$AN$14</c:f>
              <c:numCache>
                <c:formatCode>0</c:formatCode>
                <c:ptCount val="11"/>
                <c:pt idx="0">
                  <c:v>-1031.5881336683574</c:v>
                </c:pt>
                <c:pt idx="1">
                  <c:v>-936.68841552385607</c:v>
                </c:pt>
                <c:pt idx="2">
                  <c:v>-840.56610121956282</c:v>
                </c:pt>
                <c:pt idx="3">
                  <c:v>-743.27487859209691</c:v>
                </c:pt>
                <c:pt idx="4">
                  <c:v>-644.87467159080359</c:v>
                </c:pt>
                <c:pt idx="5">
                  <c:v>-545.4320526062495</c:v>
                </c:pt>
                <c:pt idx="6">
                  <c:v>-445.02067777831451</c:v>
                </c:pt>
                <c:pt idx="7">
                  <c:v>-343.5413251852641</c:v>
                </c:pt>
                <c:pt idx="8">
                  <c:v>-241.05993727724251</c:v>
                </c:pt>
                <c:pt idx="9">
                  <c:v>-137.71282720021247</c:v>
                </c:pt>
                <c:pt idx="10">
                  <c:v>-33.632707578960776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F6-304F-883C-A4DD44F07AC1}"/>
            </c:ext>
          </c:extLst>
        </c:ser>
        <c:ser>
          <c:idx val="2"/>
          <c:order val="2"/>
          <c:tx>
            <c:strRef>
              <c:f>Mortgage!$AO$3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Mortgage!$H$4:$H$14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Mortgage!$AO$4:$AO$14</c:f>
              <c:numCache>
                <c:formatCode>0</c:formatCode>
                <c:ptCount val="11"/>
                <c:pt idx="0">
                  <c:v>323.58346451876855</c:v>
                </c:pt>
                <c:pt idx="1">
                  <c:v>350.62627565766593</c:v>
                </c:pt>
                <c:pt idx="2">
                  <c:v>381.72977284514423</c:v>
                </c:pt>
                <c:pt idx="3">
                  <c:v>417.1767396555806</c:v>
                </c:pt>
                <c:pt idx="4">
                  <c:v>457.26613768847301</c:v>
                </c:pt>
                <c:pt idx="5">
                  <c:v>502.31395065345805</c:v>
                </c:pt>
                <c:pt idx="6">
                  <c:v>552.65407019790655</c:v>
                </c:pt>
                <c:pt idx="7">
                  <c:v>609.26709151078285</c:v>
                </c:pt>
                <c:pt idx="8">
                  <c:v>672.60658834102287</c:v>
                </c:pt>
                <c:pt idx="9">
                  <c:v>742.93179855151948</c:v>
                </c:pt>
                <c:pt idx="10">
                  <c:v>820.56799539951999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F6-304F-883C-A4DD44F07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Profile of Earnings, Pensions, and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IBD!$I$3</c:f>
              <c:strCache>
                <c:ptCount val="1"/>
                <c:pt idx="0">
                  <c:v>Wages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IBD!$I$4:$I$54</c:f>
              <c:numCache>
                <c:formatCode>General</c:formatCode>
                <c:ptCount val="51"/>
                <c:pt idx="0">
                  <c:v>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5-8B4B-9265-3355A5FC8DB3}"/>
            </c:ext>
          </c:extLst>
        </c:ser>
        <c:ser>
          <c:idx val="1"/>
          <c:order val="1"/>
          <c:tx>
            <c:strRef>
              <c:f>IBD!$J$3</c:f>
              <c:strCache>
                <c:ptCount val="1"/>
                <c:pt idx="0">
                  <c:v>Pension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IBD!$J$4:$J$54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1E-4</c:v>
                </c:pt>
                <c:pt idx="37">
                  <c:v>1E-4</c:v>
                </c:pt>
                <c:pt idx="38">
                  <c:v>1E-4</c:v>
                </c:pt>
                <c:pt idx="39">
                  <c:v>1E-4</c:v>
                </c:pt>
                <c:pt idx="40">
                  <c:v>1E-4</c:v>
                </c:pt>
                <c:pt idx="41">
                  <c:v>1E-4</c:v>
                </c:pt>
                <c:pt idx="42">
                  <c:v>1E-4</c:v>
                </c:pt>
                <c:pt idx="43">
                  <c:v>1E-4</c:v>
                </c:pt>
                <c:pt idx="44">
                  <c:v>1E-4</c:v>
                </c:pt>
                <c:pt idx="45">
                  <c:v>1E-4</c:v>
                </c:pt>
                <c:pt idx="46">
                  <c:v>1E-4</c:v>
                </c:pt>
                <c:pt idx="47">
                  <c:v>1E-4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5-8B4B-9265-3355A5FC8DB3}"/>
            </c:ext>
          </c:extLst>
        </c:ser>
        <c:ser>
          <c:idx val="2"/>
          <c:order val="2"/>
          <c:tx>
            <c:strRef>
              <c:f>IBD!$K$3</c:f>
              <c:strCache>
                <c:ptCount val="1"/>
                <c:pt idx="0">
                  <c:v>Expenses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IBD!$K$4:$K$54</c:f>
              <c:numCache>
                <c:formatCode>General</c:formatCode>
                <c:ptCount val="51"/>
                <c:pt idx="0">
                  <c:v>0</c:v>
                </c:pt>
                <c:pt idx="1">
                  <c:v>-250</c:v>
                </c:pt>
                <c:pt idx="2">
                  <c:v>-250</c:v>
                </c:pt>
                <c:pt idx="3">
                  <c:v>-250</c:v>
                </c:pt>
                <c:pt idx="4">
                  <c:v>-250</c:v>
                </c:pt>
                <c:pt idx="5">
                  <c:v>-250</c:v>
                </c:pt>
                <c:pt idx="6">
                  <c:v>-250</c:v>
                </c:pt>
                <c:pt idx="7">
                  <c:v>-250</c:v>
                </c:pt>
                <c:pt idx="8">
                  <c:v>-250</c:v>
                </c:pt>
                <c:pt idx="9">
                  <c:v>-250</c:v>
                </c:pt>
                <c:pt idx="10">
                  <c:v>-250</c:v>
                </c:pt>
                <c:pt idx="11">
                  <c:v>-250</c:v>
                </c:pt>
                <c:pt idx="12">
                  <c:v>-250</c:v>
                </c:pt>
                <c:pt idx="13">
                  <c:v>-250</c:v>
                </c:pt>
                <c:pt idx="14">
                  <c:v>-250</c:v>
                </c:pt>
                <c:pt idx="15">
                  <c:v>-250</c:v>
                </c:pt>
                <c:pt idx="16">
                  <c:v>-250</c:v>
                </c:pt>
                <c:pt idx="17">
                  <c:v>-250</c:v>
                </c:pt>
                <c:pt idx="18">
                  <c:v>-250</c:v>
                </c:pt>
                <c:pt idx="19">
                  <c:v>-250</c:v>
                </c:pt>
                <c:pt idx="20">
                  <c:v>-250</c:v>
                </c:pt>
                <c:pt idx="21">
                  <c:v>-250</c:v>
                </c:pt>
                <c:pt idx="22">
                  <c:v>-250</c:v>
                </c:pt>
                <c:pt idx="23">
                  <c:v>-250</c:v>
                </c:pt>
                <c:pt idx="24">
                  <c:v>-250</c:v>
                </c:pt>
                <c:pt idx="25">
                  <c:v>-250</c:v>
                </c:pt>
                <c:pt idx="26">
                  <c:v>-250</c:v>
                </c:pt>
                <c:pt idx="27">
                  <c:v>-250</c:v>
                </c:pt>
                <c:pt idx="28">
                  <c:v>-250</c:v>
                </c:pt>
                <c:pt idx="29">
                  <c:v>-250</c:v>
                </c:pt>
                <c:pt idx="30">
                  <c:v>-250</c:v>
                </c:pt>
                <c:pt idx="31">
                  <c:v>-250</c:v>
                </c:pt>
                <c:pt idx="32">
                  <c:v>-250</c:v>
                </c:pt>
                <c:pt idx="33">
                  <c:v>-250</c:v>
                </c:pt>
                <c:pt idx="34">
                  <c:v>-250</c:v>
                </c:pt>
                <c:pt idx="35">
                  <c:v>-250</c:v>
                </c:pt>
                <c:pt idx="36">
                  <c:v>-250</c:v>
                </c:pt>
                <c:pt idx="37">
                  <c:v>-250</c:v>
                </c:pt>
                <c:pt idx="38">
                  <c:v>-250</c:v>
                </c:pt>
                <c:pt idx="39">
                  <c:v>-250</c:v>
                </c:pt>
                <c:pt idx="40">
                  <c:v>-250</c:v>
                </c:pt>
                <c:pt idx="41">
                  <c:v>-250</c:v>
                </c:pt>
                <c:pt idx="42">
                  <c:v>-250</c:v>
                </c:pt>
                <c:pt idx="43">
                  <c:v>-250</c:v>
                </c:pt>
                <c:pt idx="44">
                  <c:v>-250</c:v>
                </c:pt>
                <c:pt idx="45">
                  <c:v>-250</c:v>
                </c:pt>
                <c:pt idx="46">
                  <c:v>-250</c:v>
                </c:pt>
                <c:pt idx="47">
                  <c:v>-250</c:v>
                </c:pt>
                <c:pt idx="48">
                  <c:v>-250</c:v>
                </c:pt>
                <c:pt idx="49">
                  <c:v>-250</c:v>
                </c:pt>
                <c:pt idx="50">
                  <c:v>-250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F5-8B4B-9265-3355A5FC8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Looking Present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IBD!$N$3</c:f>
              <c:strCache>
                <c:ptCount val="1"/>
                <c:pt idx="0">
                  <c:v>PV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IBD!$N$4:$N$54</c:f>
              <c:numCache>
                <c:formatCode>0</c:formatCode>
                <c:ptCount val="51"/>
                <c:pt idx="0">
                  <c:v>9861.0131475314283</c:v>
                </c:pt>
                <c:pt idx="1">
                  <c:v>9716.0096208425621</c:v>
                </c:pt>
                <c:pt idx="2">
                  <c:v>9565.7859671928945</c:v>
                </c:pt>
                <c:pt idx="3">
                  <c:v>9410.154262011838</c:v>
                </c:pt>
                <c:pt idx="4">
                  <c:v>9248.9198154442638</c:v>
                </c:pt>
                <c:pt idx="5">
                  <c:v>9081.8809288002594</c:v>
                </c:pt>
                <c:pt idx="6">
                  <c:v>8908.8286422370657</c:v>
                </c:pt>
                <c:pt idx="7">
                  <c:v>8729.5464733576009</c:v>
                </c:pt>
                <c:pt idx="8">
                  <c:v>8543.8101463984731</c:v>
                </c:pt>
                <c:pt idx="9">
                  <c:v>8351.3873116688192</c:v>
                </c:pt>
                <c:pt idx="10">
                  <c:v>8152.0372548888963</c:v>
                </c:pt>
                <c:pt idx="11">
                  <c:v>7945.510596064898</c:v>
                </c:pt>
                <c:pt idx="12">
                  <c:v>7731.5489775232345</c:v>
                </c:pt>
                <c:pt idx="13">
                  <c:v>7509.884740714072</c:v>
                </c:pt>
                <c:pt idx="14">
                  <c:v>7280.2405913797784</c:v>
                </c:pt>
                <c:pt idx="15">
                  <c:v>7042.3292526694504</c:v>
                </c:pt>
                <c:pt idx="16">
                  <c:v>6795.8531057655509</c:v>
                </c:pt>
                <c:pt idx="17">
                  <c:v>6540.5038175731124</c:v>
                </c:pt>
                <c:pt idx="18">
                  <c:v>6275.9619550057432</c:v>
                </c:pt>
                <c:pt idx="19">
                  <c:v>6001.8965853859518</c:v>
                </c:pt>
                <c:pt idx="20">
                  <c:v>5717.9648624598458</c:v>
                </c:pt>
                <c:pt idx="21">
                  <c:v>5423.8115975084002</c:v>
                </c:pt>
                <c:pt idx="22">
                  <c:v>5119.0688150187007</c:v>
                </c:pt>
                <c:pt idx="23">
                  <c:v>4803.3552923593752</c:v>
                </c:pt>
                <c:pt idx="24">
                  <c:v>4476.2760828843129</c:v>
                </c:pt>
                <c:pt idx="25">
                  <c:v>4137.4220218681494</c:v>
                </c:pt>
                <c:pt idx="26">
                  <c:v>3786.3692146554017</c:v>
                </c:pt>
                <c:pt idx="27">
                  <c:v>3422.6785063829971</c:v>
                </c:pt>
                <c:pt idx="28">
                  <c:v>3045.8949326127849</c:v>
                </c:pt>
                <c:pt idx="29">
                  <c:v>2655.5471501868451</c:v>
                </c:pt>
                <c:pt idx="30">
                  <c:v>2251.1468475935712</c:v>
                </c:pt>
                <c:pt idx="31">
                  <c:v>1832.18813410694</c:v>
                </c:pt>
                <c:pt idx="32">
                  <c:v>1398.14690693479</c:v>
                </c:pt>
                <c:pt idx="33">
                  <c:v>948.48019558444241</c:v>
                </c:pt>
                <c:pt idx="34">
                  <c:v>482.62548262548256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9-C541-960B-1A89D9CE2FDD}"/>
            </c:ext>
          </c:extLst>
        </c:ser>
        <c:ser>
          <c:idx val="1"/>
          <c:order val="1"/>
          <c:tx>
            <c:strRef>
              <c:f>IBD!$O$3</c:f>
              <c:strCache>
                <c:ptCount val="1"/>
                <c:pt idx="0">
                  <c:v>PV of Future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IBD!$O$4:$O$54</c:f>
              <c:numCache>
                <c:formatCode>0</c:formatCode>
                <c:ptCount val="51"/>
                <c:pt idx="0">
                  <c:v>6.4249865616167721E-4</c:v>
                </c:pt>
                <c:pt idx="1">
                  <c:v>6.5534862928491079E-4</c:v>
                </c:pt>
                <c:pt idx="2">
                  <c:v>6.6845560187060889E-4</c:v>
                </c:pt>
                <c:pt idx="3">
                  <c:v>6.8182471390802106E-4</c:v>
                </c:pt>
                <c:pt idx="4">
                  <c:v>6.9546120818618159E-4</c:v>
                </c:pt>
                <c:pt idx="5">
                  <c:v>7.0937043234990519E-4</c:v>
                </c:pt>
                <c:pt idx="6">
                  <c:v>7.2355784099690341E-4</c:v>
                </c:pt>
                <c:pt idx="7">
                  <c:v>7.3802899781684125E-4</c:v>
                </c:pt>
                <c:pt idx="8">
                  <c:v>7.5278957777317817E-4</c:v>
                </c:pt>
                <c:pt idx="9">
                  <c:v>7.6784536932864164E-4</c:v>
                </c:pt>
                <c:pt idx="10">
                  <c:v>7.8320227671521453E-4</c:v>
                </c:pt>
                <c:pt idx="11">
                  <c:v>7.988663222495187E-4</c:v>
                </c:pt>
                <c:pt idx="12">
                  <c:v>8.1484364869450923E-4</c:v>
                </c:pt>
                <c:pt idx="13">
                  <c:v>8.311405216683993E-4</c:v>
                </c:pt>
                <c:pt idx="14">
                  <c:v>8.4776333210176739E-4</c:v>
                </c:pt>
                <c:pt idx="15">
                  <c:v>8.6471859874380258E-4</c:v>
                </c:pt>
                <c:pt idx="16">
                  <c:v>8.8201297071867878E-4</c:v>
                </c:pt>
                <c:pt idx="17">
                  <c:v>8.9965323013305241E-4</c:v>
                </c:pt>
                <c:pt idx="18">
                  <c:v>9.1764629473571342E-4</c:v>
                </c:pt>
                <c:pt idx="19">
                  <c:v>9.3599922063042763E-4</c:v>
                </c:pt>
                <c:pt idx="20">
                  <c:v>9.5471920504303618E-4</c:v>
                </c:pt>
                <c:pt idx="21">
                  <c:v>9.7381358914389688E-4</c:v>
                </c:pt>
                <c:pt idx="22">
                  <c:v>9.9328986092677503E-4</c:v>
                </c:pt>
                <c:pt idx="23">
                  <c:v>1.0131556581453101E-3</c:v>
                </c:pt>
                <c:pt idx="24">
                  <c:v>1.0334187713082164E-3</c:v>
                </c:pt>
                <c:pt idx="25">
                  <c:v>1.0540871467343807E-3</c:v>
                </c:pt>
                <c:pt idx="26">
                  <c:v>1.0751688896690685E-3</c:v>
                </c:pt>
                <c:pt idx="27">
                  <c:v>1.0966722674624497E-3</c:v>
                </c:pt>
                <c:pt idx="28">
                  <c:v>1.1186057128116989E-3</c:v>
                </c:pt>
                <c:pt idx="29">
                  <c:v>1.1409778270679326E-3</c:v>
                </c:pt>
                <c:pt idx="30">
                  <c:v>1.1637973836092915E-3</c:v>
                </c:pt>
                <c:pt idx="31">
                  <c:v>1.1870733312814769E-3</c:v>
                </c:pt>
                <c:pt idx="32">
                  <c:v>1.2108147979071069E-3</c:v>
                </c:pt>
                <c:pt idx="33">
                  <c:v>1.2350310938652491E-3</c:v>
                </c:pt>
                <c:pt idx="34">
                  <c:v>1.259731715742554E-3</c:v>
                </c:pt>
                <c:pt idx="35">
                  <c:v>1.284926350057405E-3</c:v>
                </c:pt>
                <c:pt idx="36">
                  <c:v>1.2106248770585527E-3</c:v>
                </c:pt>
                <c:pt idx="37">
                  <c:v>1.1348373745997242E-3</c:v>
                </c:pt>
                <c:pt idx="38">
                  <c:v>1.0575341220917186E-3</c:v>
                </c:pt>
                <c:pt idx="39">
                  <c:v>9.7868480453355247E-4</c:v>
                </c:pt>
                <c:pt idx="40">
                  <c:v>8.982585006242238E-4</c:v>
                </c:pt>
                <c:pt idx="41">
                  <c:v>8.162236706367082E-4</c:v>
                </c:pt>
                <c:pt idx="42">
                  <c:v>7.3254814404944237E-4</c:v>
                </c:pt>
                <c:pt idx="43">
                  <c:v>6.4719910693043108E-4</c:v>
                </c:pt>
                <c:pt idx="44">
                  <c:v>5.6014308906903983E-4</c:v>
                </c:pt>
                <c:pt idx="45">
                  <c:v>4.7134595085042056E-4</c:v>
                </c:pt>
                <c:pt idx="46">
                  <c:v>3.8077286986742899E-4</c:v>
                </c:pt>
                <c:pt idx="47">
                  <c:v>2.8838832726477744E-4</c:v>
                </c:pt>
                <c:pt idx="48">
                  <c:v>1.9415609381007303E-4</c:v>
                </c:pt>
                <c:pt idx="49">
                  <c:v>9.8039215686274519E-5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9-C541-960B-1A89D9CE2FDD}"/>
            </c:ext>
          </c:extLst>
        </c:ser>
        <c:ser>
          <c:idx val="2"/>
          <c:order val="2"/>
          <c:tx>
            <c:strRef>
              <c:f>IBD!$P$3</c:f>
              <c:strCache>
                <c:ptCount val="1"/>
                <c:pt idx="0">
                  <c:v>PV of Future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IBD!$P$4:$P$54</c:f>
              <c:numCache>
                <c:formatCode>0</c:formatCode>
                <c:ptCount val="51"/>
                <c:pt idx="0">
                  <c:v>-7855.901473412976</c:v>
                </c:pt>
                <c:pt idx="1">
                  <c:v>-7763.019502881235</c:v>
                </c:pt>
                <c:pt idx="2">
                  <c:v>-7668.27989293886</c:v>
                </c:pt>
                <c:pt idx="3">
                  <c:v>-7571.6454907976358</c:v>
                </c:pt>
                <c:pt idx="4">
                  <c:v>-7473.07840061359</c:v>
                </c:pt>
                <c:pt idx="5">
                  <c:v>-7372.5399686258625</c:v>
                </c:pt>
                <c:pt idx="6">
                  <c:v>-7269.9907679983799</c:v>
                </c:pt>
                <c:pt idx="7">
                  <c:v>-7165.3905833583458</c:v>
                </c:pt>
                <c:pt idx="8">
                  <c:v>-7058.6983950255117</c:v>
                </c:pt>
                <c:pt idx="9">
                  <c:v>-6949.8723629260248</c:v>
                </c:pt>
                <c:pt idx="10">
                  <c:v>-6838.8698101845448</c:v>
                </c:pt>
                <c:pt idx="11">
                  <c:v>-6725.6472063882347</c:v>
                </c:pt>
                <c:pt idx="12">
                  <c:v>-6610.1601505159997</c:v>
                </c:pt>
                <c:pt idx="13">
                  <c:v>-6492.3633535263216</c:v>
                </c:pt>
                <c:pt idx="14">
                  <c:v>-6372.2106205968485</c:v>
                </c:pt>
                <c:pt idx="15">
                  <c:v>-6249.6548330087844</c:v>
                </c:pt>
                <c:pt idx="16">
                  <c:v>-6124.6479296689595</c:v>
                </c:pt>
                <c:pt idx="17">
                  <c:v>-5997.1408882623391</c:v>
                </c:pt>
                <c:pt idx="18">
                  <c:v>-5867.0837060275871</c:v>
                </c:pt>
                <c:pt idx="19">
                  <c:v>-5734.4253801481382</c:v>
                </c:pt>
                <c:pt idx="20">
                  <c:v>-5599.1138877511012</c:v>
                </c:pt>
                <c:pt idx="21">
                  <c:v>-5461.0961655061219</c:v>
                </c:pt>
                <c:pt idx="22">
                  <c:v>-5320.3180888162451</c:v>
                </c:pt>
                <c:pt idx="23">
                  <c:v>-5176.7244505925701</c:v>
                </c:pt>
                <c:pt idx="24">
                  <c:v>-5030.2589396044214</c:v>
                </c:pt>
                <c:pt idx="25">
                  <c:v>-4880.8641183965092</c:v>
                </c:pt>
                <c:pt idx="26">
                  <c:v>-4728.48140076444</c:v>
                </c:pt>
                <c:pt idx="27">
                  <c:v>-4573.0510287797279</c:v>
                </c:pt>
                <c:pt idx="28">
                  <c:v>-4414.512049355325</c:v>
                </c:pt>
                <c:pt idx="29">
                  <c:v>-4252.8022903424308</c:v>
                </c:pt>
                <c:pt idx="30">
                  <c:v>-4087.8583361492797</c:v>
                </c:pt>
                <c:pt idx="31">
                  <c:v>-3919.6155028722642</c:v>
                </c:pt>
                <c:pt idx="32">
                  <c:v>-3748.0078129297103</c:v>
                </c:pt>
                <c:pt idx="33">
                  <c:v>-3572.9679691883048</c:v>
                </c:pt>
                <c:pt idx="34">
                  <c:v>-3394.4273285720706</c:v>
                </c:pt>
                <c:pt idx="35">
                  <c:v>-3212.3158751435121</c:v>
                </c:pt>
                <c:pt idx="36">
                  <c:v>-3026.5621926463809</c:v>
                </c:pt>
                <c:pt idx="37">
                  <c:v>-2837.0934364993091</c:v>
                </c:pt>
                <c:pt idx="38">
                  <c:v>-2643.835305229296</c:v>
                </c:pt>
                <c:pt idx="39">
                  <c:v>-2446.7120113338806</c:v>
                </c:pt>
                <c:pt idx="40">
                  <c:v>-2245.6462515605594</c:v>
                </c:pt>
                <c:pt idx="41">
                  <c:v>-2040.5591765917704</c:v>
                </c:pt>
                <c:pt idx="42">
                  <c:v>-1831.3703601236057</c:v>
                </c:pt>
                <c:pt idx="43">
                  <c:v>-1617.9977673260778</c:v>
                </c:pt>
                <c:pt idx="44">
                  <c:v>-1400.3577226725993</c:v>
                </c:pt>
                <c:pt idx="45">
                  <c:v>-1178.3648771260512</c:v>
                </c:pt>
                <c:pt idx="46">
                  <c:v>-951.93217466857243</c:v>
                </c:pt>
                <c:pt idx="47">
                  <c:v>-720.9708181619435</c:v>
                </c:pt>
                <c:pt idx="48">
                  <c:v>-485.39023452518256</c:v>
                </c:pt>
                <c:pt idx="49">
                  <c:v>-245.09803921568627</c:v>
                </c:pt>
                <c:pt idx="50">
                  <c:v>-250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9-C541-960B-1A89D9CE2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Durations of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IBD!$Q$3</c:f>
              <c:strCache>
                <c:ptCount val="1"/>
                <c:pt idx="0">
                  <c:v>Duration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IBD!$Q$4:$Q$54</c:f>
              <c:numCache>
                <c:formatCode>0</c:formatCode>
                <c:ptCount val="51"/>
                <c:pt idx="0">
                  <c:v>14.197562161072323</c:v>
                </c:pt>
                <c:pt idx="1">
                  <c:v>13.89734481465112</c:v>
                </c:pt>
                <c:pt idx="2">
                  <c:v>13.592116868136001</c:v>
                </c:pt>
                <c:pt idx="3">
                  <c:v>13.281837249289023</c:v>
                </c:pt>
                <c:pt idx="4">
                  <c:v>12.96646572931648</c:v>
                </c:pt>
                <c:pt idx="5">
                  <c:v>12.645962953652498</c:v>
                </c:pt>
                <c:pt idx="6">
                  <c:v>12.32029047236432</c:v>
                </c:pt>
                <c:pt idx="7">
                  <c:v>11.989410770135432</c:v>
                </c:pt>
                <c:pt idx="8">
                  <c:v>11.653287295782761</c:v>
                </c:pt>
                <c:pt idx="9">
                  <c:v>11.311884491264358</c:v>
                </c:pt>
                <c:pt idx="10">
                  <c:v>10.965167820134065</c:v>
                </c:pt>
                <c:pt idx="11">
                  <c:v>10.613103795400201</c:v>
                </c:pt>
                <c:pt idx="12">
                  <c:v>10.255660006745506</c:v>
                </c:pt>
                <c:pt idx="13">
                  <c:v>9.8928051470664204</c:v>
                </c:pt>
                <c:pt idx="14">
                  <c:v>9.5245090382900859</c:v>
                </c:pt>
                <c:pt idx="15">
                  <c:v>9.1507426564284611</c:v>
                </c:pt>
                <c:pt idx="16">
                  <c:v>8.7714781558296533</c:v>
                </c:pt>
                <c:pt idx="17">
                  <c:v>8.3866888925875571</c:v>
                </c:pt>
                <c:pt idx="18">
                  <c:v>7.9963494470719167</c:v>
                </c:pt>
                <c:pt idx="19">
                  <c:v>7.6004356455420803</c:v>
                </c:pt>
                <c:pt idx="20">
                  <c:v>7.1989245808089768</c:v>
                </c:pt>
                <c:pt idx="21">
                  <c:v>6.7917946319110971</c:v>
                </c:pt>
                <c:pt idx="22">
                  <c:v>6.3790254827717936</c:v>
                </c:pt>
                <c:pt idx="23">
                  <c:v>5.960598139806593</c:v>
                </c:pt>
                <c:pt idx="24">
                  <c:v>5.5364949484509536</c:v>
                </c:pt>
                <c:pt idx="25">
                  <c:v>5.106699608580425</c:v>
                </c:pt>
                <c:pt idx="26">
                  <c:v>4.6711971887970076</c:v>
                </c:pt>
                <c:pt idx="27">
                  <c:v>4.2299741395573172</c:v>
                </c:pt>
                <c:pt idx="28">
                  <c:v>3.7830183051200259</c:v>
                </c:pt>
                <c:pt idx="29">
                  <c:v>3.3303189342919937</c:v>
                </c:pt>
                <c:pt idx="30">
                  <c:v>2.8718666899545622</c:v>
                </c:pt>
                <c:pt idx="31">
                  <c:v>2.4076536573534684</c:v>
                </c:pt>
                <c:pt idx="32">
                  <c:v>1.9376733511380066</c:v>
                </c:pt>
                <c:pt idx="33">
                  <c:v>1.4619207211371779</c:v>
                </c:pt>
                <c:pt idx="34">
                  <c:v>0.98039215686274506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9-984F-BD57-C69A84AB7F30}"/>
            </c:ext>
          </c:extLst>
        </c:ser>
        <c:ser>
          <c:idx val="1"/>
          <c:order val="1"/>
          <c:tx>
            <c:strRef>
              <c:f>IBD!$R$3</c:f>
              <c:strCache>
                <c:ptCount val="1"/>
                <c:pt idx="0">
                  <c:v>Duration of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IBD!$R$4:$R$54</c:f>
              <c:numCache>
                <c:formatCode>0</c:formatCode>
                <c:ptCount val="51"/>
                <c:pt idx="0">
                  <c:v>21.428327414120588</c:v>
                </c:pt>
                <c:pt idx="1">
                  <c:v>21.250453178465257</c:v>
                </c:pt>
                <c:pt idx="2">
                  <c:v>21.061725937360286</c:v>
                </c:pt>
                <c:pt idx="3">
                  <c:v>20.861848971953744</c:v>
                </c:pt>
                <c:pt idx="4">
                  <c:v>20.650518925048893</c:v>
                </c:pt>
                <c:pt idx="5">
                  <c:v>20.427425665852827</c:v>
                </c:pt>
                <c:pt idx="6">
                  <c:v>20.192252152115252</c:v>
                </c:pt>
                <c:pt idx="7">
                  <c:v>19.944674289609093</c:v>
                </c:pt>
                <c:pt idx="8">
                  <c:v>19.684360788903053</c:v>
                </c:pt>
                <c:pt idx="9">
                  <c:v>19.410973019376197</c:v>
                </c:pt>
                <c:pt idx="10">
                  <c:v>19.124164860422841</c:v>
                </c:pt>
                <c:pt idx="11">
                  <c:v>18.823582549795919</c:v>
                </c:pt>
                <c:pt idx="12">
                  <c:v>18.50886452903525</c:v>
                </c:pt>
                <c:pt idx="13">
                  <c:v>18.179641285927058</c:v>
                </c:pt>
                <c:pt idx="14">
                  <c:v>17.835535193939116</c:v>
                </c:pt>
                <c:pt idx="15">
                  <c:v>17.476160348575863</c:v>
                </c:pt>
                <c:pt idx="16">
                  <c:v>17.101122400596005</c:v>
                </c:pt>
                <c:pt idx="17">
                  <c:v>16.710018386034744</c:v>
                </c:pt>
                <c:pt idx="18">
                  <c:v>16.302436552971141</c:v>
                </c:pt>
                <c:pt idx="19">
                  <c:v>15.877956184980571</c:v>
                </c:pt>
                <c:pt idx="20">
                  <c:v>15.436147421210711</c:v>
                </c:pt>
                <c:pt idx="21">
                  <c:v>14.976571073018695</c:v>
                </c:pt>
                <c:pt idx="22">
                  <c:v>14.498778437105791</c:v>
                </c:pt>
                <c:pt idx="23">
                  <c:v>14.002311105084774</c:v>
                </c:pt>
                <c:pt idx="24">
                  <c:v>13.486700769414126</c:v>
                </c:pt>
                <c:pt idx="25">
                  <c:v>12.951469025631992</c:v>
                </c:pt>
                <c:pt idx="26">
                  <c:v>12.396127170821389</c:v>
                </c:pt>
                <c:pt idx="27">
                  <c:v>11.820175998237255</c:v>
                </c:pt>
                <c:pt idx="28">
                  <c:v>11.223105588024445</c:v>
                </c:pt>
                <c:pt idx="29">
                  <c:v>10.604395093954571</c:v>
                </c:pt>
                <c:pt idx="30">
                  <c:v>9.9635125261082784</c:v>
                </c:pt>
                <c:pt idx="31">
                  <c:v>9.2999145294283228</c:v>
                </c:pt>
                <c:pt idx="32">
                  <c:v>8.6130461580671618</c:v>
                </c:pt>
                <c:pt idx="33">
                  <c:v>7.9023406454519076</c:v>
                </c:pt>
                <c:pt idx="34">
                  <c:v>7.1672191699875274</c:v>
                </c:pt>
                <c:pt idx="35">
                  <c:v>6.4070906163182366</c:v>
                </c:pt>
                <c:pt idx="36">
                  <c:v>6.0856860271958615</c:v>
                </c:pt>
                <c:pt idx="37">
                  <c:v>5.7549515287306328</c:v>
                </c:pt>
                <c:pt idx="38">
                  <c:v>5.414647153670626</c:v>
                </c:pt>
                <c:pt idx="39">
                  <c:v>5.064527375097545</c:v>
                </c:pt>
                <c:pt idx="40">
                  <c:v>4.7043409897982151</c:v>
                </c:pt>
                <c:pt idx="41">
                  <c:v>4.3338309993996917</c:v>
                </c:pt>
                <c:pt idx="42">
                  <c:v>3.9527344892273941</c:v>
                </c:pt>
                <c:pt idx="43">
                  <c:v>3.5607825048451711</c:v>
                </c:pt>
                <c:pt idx="44">
                  <c:v>3.1576999262352277</c:v>
                </c:pt>
                <c:pt idx="45">
                  <c:v>2.7432053395752347</c:v>
                </c:pt>
                <c:pt idx="46">
                  <c:v>2.3170109065690752</c:v>
                </c:pt>
                <c:pt idx="47">
                  <c:v>1.8788222312869305</c:v>
                </c:pt>
                <c:pt idx="48">
                  <c:v>1.4283382244695753</c:v>
                </c:pt>
                <c:pt idx="49">
                  <c:v>0.9652509652509651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69-984F-BD57-C69A84AB7F30}"/>
            </c:ext>
          </c:extLst>
        </c:ser>
        <c:ser>
          <c:idx val="2"/>
          <c:order val="2"/>
          <c:tx>
            <c:strRef>
              <c:f>IBD!$S$3</c:f>
              <c:strCache>
                <c:ptCount val="1"/>
                <c:pt idx="0">
                  <c:v>Duration of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IBD!$S$4:$S$54</c:f>
              <c:numCache>
                <c:formatCode>0</c:formatCode>
                <c:ptCount val="51"/>
                <c:pt idx="0">
                  <c:v>21.021544843880971</c:v>
                </c:pt>
                <c:pt idx="1">
                  <c:v>20.686557245115118</c:v>
                </c:pt>
                <c:pt idx="2">
                  <c:v>20.348622241726854</c:v>
                </c:pt>
                <c:pt idx="3">
                  <c:v>20.007728794504025</c:v>
                </c:pt>
                <c:pt idx="4">
                  <c:v>19.663866044186744</c:v>
                </c:pt>
                <c:pt idx="5">
                  <c:v>19.317023314211895</c:v>
                </c:pt>
                <c:pt idx="6">
                  <c:v>18.967190113423229</c:v>
                </c:pt>
                <c:pt idx="7">
                  <c:v>18.614356138745801</c:v>
                </c:pt>
                <c:pt idx="8">
                  <c:v>18.258511277823281</c:v>
                </c:pt>
                <c:pt idx="9">
                  <c:v>17.899645611617039</c:v>
                </c:pt>
                <c:pt idx="10">
                  <c:v>17.537749416965692</c:v>
                </c:pt>
                <c:pt idx="11">
                  <c:v>17.172813169103659</c:v>
                </c:pt>
                <c:pt idx="12">
                  <c:v>16.804827544137765</c:v>
                </c:pt>
                <c:pt idx="13">
                  <c:v>16.433783421480456</c:v>
                </c:pt>
                <c:pt idx="14">
                  <c:v>16.059671886238558</c:v>
                </c:pt>
                <c:pt idx="15">
                  <c:v>15.68248423155614</c:v>
                </c:pt>
                <c:pt idx="16">
                  <c:v>15.302211960910606</c:v>
                </c:pt>
                <c:pt idx="17">
                  <c:v>14.918846790360567</c:v>
                </c:pt>
                <c:pt idx="18">
                  <c:v>14.532380650744598</c:v>
                </c:pt>
                <c:pt idx="19">
                  <c:v>14.142805689829556</c:v>
                </c:pt>
                <c:pt idx="20">
                  <c:v>13.750114274407412</c:v>
                </c:pt>
                <c:pt idx="21">
                  <c:v>13.354298992339606</c:v>
                </c:pt>
                <c:pt idx="22">
                  <c:v>12.955352654547712</c:v>
                </c:pt>
                <c:pt idx="23">
                  <c:v>12.553268296949524</c:v>
                </c:pt>
                <c:pt idx="24">
                  <c:v>12.148039182339472</c:v>
                </c:pt>
                <c:pt idx="25">
                  <c:v>11.739658802212363</c:v>
                </c:pt>
                <c:pt idx="26">
                  <c:v>11.328120878529544</c:v>
                </c:pt>
                <c:pt idx="27">
                  <c:v>10.91341936542657</c:v>
                </c:pt>
                <c:pt idx="28">
                  <c:v>10.495548450861394</c:v>
                </c:pt>
                <c:pt idx="29">
                  <c:v>10.074502558202274</c:v>
                </c:pt>
                <c:pt idx="30">
                  <c:v>9.6502763477545237</c:v>
                </c:pt>
                <c:pt idx="31">
                  <c:v>9.2228647182252992</c:v>
                </c:pt>
                <c:pt idx="32">
                  <c:v>8.7922628081256526</c:v>
                </c:pt>
                <c:pt idx="33">
                  <c:v>8.3584659971090645</c:v>
                </c:pt>
                <c:pt idx="34">
                  <c:v>7.9214699072457879</c:v>
                </c:pt>
                <c:pt idx="35">
                  <c:v>7.4812704042322649</c:v>
                </c:pt>
                <c:pt idx="36">
                  <c:v>7.0378635985350009</c:v>
                </c:pt>
                <c:pt idx="37">
                  <c:v>6.5912458464682588</c:v>
                </c:pt>
                <c:pt idx="38">
                  <c:v>6.1414137512050084</c:v>
                </c:pt>
                <c:pt idx="39">
                  <c:v>5.6883641637205686</c:v>
                </c:pt>
                <c:pt idx="40">
                  <c:v>5.2320941836684085</c:v>
                </c:pt>
                <c:pt idx="41">
                  <c:v>4.7726011601877003</c:v>
                </c:pt>
                <c:pt idx="42">
                  <c:v>4.3098826926420921</c:v>
                </c:pt>
                <c:pt idx="43">
                  <c:v>3.8439366312893708</c:v>
                </c:pt>
                <c:pt idx="44">
                  <c:v>3.3747610778816193</c:v>
                </c:pt>
                <c:pt idx="45">
                  <c:v>2.9023543861955372</c:v>
                </c:pt>
                <c:pt idx="46">
                  <c:v>2.426715162492644</c:v>
                </c:pt>
                <c:pt idx="47">
                  <c:v>1.9478422659091088</c:v>
                </c:pt>
                <c:pt idx="48">
                  <c:v>1.4657348087749953</c:v>
                </c:pt>
                <c:pt idx="49">
                  <c:v>0.98039215686274506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69-984F-BD57-C69A84AB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Capital vs</a:t>
            </a:r>
            <a:r>
              <a:rPr lang="en-US" baseline="0"/>
              <a:t> Financial Wealth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IBD!$W$3</c:f>
              <c:strCache>
                <c:ptCount val="1"/>
                <c:pt idx="0">
                  <c:v>Financial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IBD!$W$4:$W$54</c:f>
              <c:numCache>
                <c:formatCode>General</c:formatCode>
                <c:ptCount val="51"/>
                <c:pt idx="0">
                  <c:v>100</c:v>
                </c:pt>
                <c:pt idx="1">
                  <c:v>351.38</c:v>
                </c:pt>
                <c:pt idx="2">
                  <c:v>606.22904399999993</c:v>
                </c:pt>
                <c:pt idx="3">
                  <c:v>864.59500480719998</c:v>
                </c:pt>
                <c:pt idx="4">
                  <c:v>1126.5264158735395</c:v>
                </c:pt>
                <c:pt idx="5">
                  <c:v>1392.0724804125944</c:v>
                </c:pt>
                <c:pt idx="6">
                  <c:v>1661.2830806422883</c:v>
                </c:pt>
                <c:pt idx="7">
                  <c:v>1934.2087871551519</c:v>
                </c:pt>
                <c:pt idx="8">
                  <c:v>2210.900868417893</c:v>
                </c:pt>
                <c:pt idx="9">
                  <c:v>2491.4113004020601</c:v>
                </c:pt>
                <c:pt idx="10">
                  <c:v>2775.7927763476087</c:v>
                </c:pt>
                <c:pt idx="11">
                  <c:v>3064.0987166612058</c:v>
                </c:pt>
                <c:pt idx="12">
                  <c:v>3356.3832789511307</c:v>
                </c:pt>
                <c:pt idx="13">
                  <c:v>3652.7013682006564</c:v>
                </c:pt>
                <c:pt idx="14">
                  <c:v>3953.1086470818254</c:v>
                </c:pt>
                <c:pt idx="15">
                  <c:v>4263.1262825017375</c:v>
                </c:pt>
                <c:pt idx="16">
                  <c:v>4590.2208139449822</c:v>
                </c:pt>
                <c:pt idx="17">
                  <c:v>4936.7447319991152</c:v>
                </c:pt>
                <c:pt idx="18">
                  <c:v>5303.2572278451808</c:v>
                </c:pt>
                <c:pt idx="19">
                  <c:v>5689.845808443094</c:v>
                </c:pt>
                <c:pt idx="20">
                  <c:v>6096.6759508506602</c:v>
                </c:pt>
                <c:pt idx="21">
                  <c:v>6523.9870614276051</c:v>
                </c:pt>
                <c:pt idx="22">
                  <c:v>6972.087951334629</c:v>
                </c:pt>
                <c:pt idx="23">
                  <c:v>7441.3522886543142</c:v>
                </c:pt>
                <c:pt idx="24">
                  <c:v>7932.2142948948549</c:v>
                </c:pt>
                <c:pt idx="25">
                  <c:v>8445.1648256000099</c:v>
                </c:pt>
                <c:pt idx="26">
                  <c:v>8980.7478931262121</c:v>
                </c:pt>
                <c:pt idx="27">
                  <c:v>9539.5576398535577</c:v>
                </c:pt>
                <c:pt idx="28">
                  <c:v>10122.235741436965</c:v>
                </c:pt>
                <c:pt idx="29">
                  <c:v>10729.469204617899</c:v>
                </c:pt>
                <c:pt idx="30">
                  <c:v>11361.988517467636</c:v>
                </c:pt>
                <c:pt idx="31">
                  <c:v>12020.566108322862</c:v>
                </c:pt>
                <c:pt idx="32">
                  <c:v>12706.015070911313</c:v>
                </c:pt>
                <c:pt idx="33">
                  <c:v>13419.188115868108</c:v>
                </c:pt>
                <c:pt idx="34">
                  <c:v>14160.976712165082</c:v>
                </c:pt>
                <c:pt idx="35">
                  <c:v>14932.310385414081</c:v>
                </c:pt>
                <c:pt idx="36">
                  <c:v>15234.156243277397</c:v>
                </c:pt>
                <c:pt idx="37">
                  <c:v>15550.432619672643</c:v>
                </c:pt>
                <c:pt idx="38">
                  <c:v>15881.712469648732</c:v>
                </c:pt>
                <c:pt idx="39">
                  <c:v>16228.600837670712</c:v>
                </c:pt>
                <c:pt idx="40">
                  <c:v>16591.73585163385</c:v>
                </c:pt>
                <c:pt idx="41">
                  <c:v>16971.789705845869</c:v>
                </c:pt>
                <c:pt idx="42">
                  <c:v>17369.469636714846</c:v>
                </c:pt>
                <c:pt idx="43">
                  <c:v>17785.51889523329</c:v>
                </c:pt>
                <c:pt idx="44">
                  <c:v>18220.717720684548</c:v>
                </c:pt>
                <c:pt idx="45">
                  <c:v>18675.88432031414</c:v>
                </c:pt>
                <c:pt idx="46">
                  <c:v>19151.875860003642</c:v>
                </c:pt>
                <c:pt idx="47">
                  <c:v>19649.58947125584</c:v>
                </c:pt>
                <c:pt idx="48">
                  <c:v>20169.963280044049</c:v>
                </c:pt>
                <c:pt idx="49">
                  <c:v>20713.9774632929</c:v>
                </c:pt>
                <c:pt idx="50">
                  <c:v>21282.65533893992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10-6A47-BA49-AB904F881CBA}"/>
            </c:ext>
          </c:extLst>
        </c:ser>
        <c:ser>
          <c:idx val="1"/>
          <c:order val="1"/>
          <c:tx>
            <c:strRef>
              <c:f>IBD!$X$3</c:f>
              <c:strCache>
                <c:ptCount val="1"/>
                <c:pt idx="0">
                  <c:v>Total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IBD!$X$4:$X$54</c:f>
              <c:numCache>
                <c:formatCode>0</c:formatCode>
                <c:ptCount val="51"/>
                <c:pt idx="0">
                  <c:v>2105.1123166171092</c:v>
                </c:pt>
                <c:pt idx="1">
                  <c:v>2304.3707733099563</c:v>
                </c:pt>
                <c:pt idx="2">
                  <c:v>2503.7357867096352</c:v>
                </c:pt>
                <c:pt idx="3">
                  <c:v>2703.1044578461169</c:v>
                </c:pt>
                <c:pt idx="4">
                  <c:v>2902.3685261654223</c:v>
                </c:pt>
                <c:pt idx="5">
                  <c:v>3101.414149957423</c:v>
                </c:pt>
                <c:pt idx="6">
                  <c:v>3300.1216784388153</c:v>
                </c:pt>
                <c:pt idx="7">
                  <c:v>3498.3654151834044</c:v>
                </c:pt>
                <c:pt idx="8">
                  <c:v>3696.0133725804321</c:v>
                </c:pt>
                <c:pt idx="9">
                  <c:v>3892.9270169902238</c:v>
                </c:pt>
                <c:pt idx="10">
                  <c:v>4088.9610042542367</c:v>
                </c:pt>
                <c:pt idx="11">
                  <c:v>4283.962905204191</c:v>
                </c:pt>
                <c:pt idx="12">
                  <c:v>4477.7729208020146</c:v>
                </c:pt>
                <c:pt idx="13">
                  <c:v>4670.2235865289285</c:v>
                </c:pt>
                <c:pt idx="14">
                  <c:v>4861.1394656280872</c:v>
                </c:pt>
                <c:pt idx="15">
                  <c:v>5055.8015668810021</c:v>
                </c:pt>
                <c:pt idx="16">
                  <c:v>5261.4268720545442</c:v>
                </c:pt>
                <c:pt idx="17">
                  <c:v>5480.1085609631182</c:v>
                </c:pt>
                <c:pt idx="18">
                  <c:v>5712.1363944696313</c:v>
                </c:pt>
                <c:pt idx="19">
                  <c:v>5957.3179496801285</c:v>
                </c:pt>
                <c:pt idx="20">
                  <c:v>6215.5278802786097</c:v>
                </c:pt>
                <c:pt idx="21">
                  <c:v>6486.7034672434729</c:v>
                </c:pt>
                <c:pt idx="22">
                  <c:v>6770.8396708269456</c:v>
                </c:pt>
                <c:pt idx="23">
                  <c:v>7067.9841435767776</c:v>
                </c:pt>
                <c:pt idx="24">
                  <c:v>7378.2324715935174</c:v>
                </c:pt>
                <c:pt idx="25">
                  <c:v>7701.7237831587972</c:v>
                </c:pt>
                <c:pt idx="26">
                  <c:v>8038.636782186064</c:v>
                </c:pt>
                <c:pt idx="27">
                  <c:v>8389.1862141290949</c:v>
                </c:pt>
                <c:pt idx="28">
                  <c:v>8753.619743300138</c:v>
                </c:pt>
                <c:pt idx="29">
                  <c:v>9132.2152054401413</c:v>
                </c:pt>
                <c:pt idx="30">
                  <c:v>9525.278192709311</c:v>
                </c:pt>
                <c:pt idx="31">
                  <c:v>9933.139926630869</c:v>
                </c:pt>
                <c:pt idx="32">
                  <c:v>10356.15537573119</c:v>
                </c:pt>
                <c:pt idx="33">
                  <c:v>10794.70157729534</c:v>
                </c:pt>
                <c:pt idx="34">
                  <c:v>11249.176125950209</c:v>
                </c:pt>
                <c:pt idx="35">
                  <c:v>11719.995795196919</c:v>
                </c:pt>
                <c:pt idx="36">
                  <c:v>12207.595261255894</c:v>
                </c:pt>
                <c:pt idx="37">
                  <c:v>12713.340318010709</c:v>
                </c:pt>
                <c:pt idx="38">
                  <c:v>13237.878221953557</c:v>
                </c:pt>
                <c:pt idx="39">
                  <c:v>13781.889805021636</c:v>
                </c:pt>
                <c:pt idx="40">
                  <c:v>14346.090498331791</c:v>
                </c:pt>
                <c:pt idx="41">
                  <c:v>14931.231345477769</c:v>
                </c:pt>
                <c:pt idx="42">
                  <c:v>15538.100009139385</c:v>
                </c:pt>
                <c:pt idx="43">
                  <c:v>16167.521775106319</c:v>
                </c:pt>
                <c:pt idx="44">
                  <c:v>16820.360558155036</c:v>
                </c:pt>
                <c:pt idx="45">
                  <c:v>17497.519914534041</c:v>
                </c:pt>
                <c:pt idx="46">
                  <c:v>18199.944066107939</c:v>
                </c:pt>
                <c:pt idx="47">
                  <c:v>18928.618941482226</c:v>
                </c:pt>
                <c:pt idx="48">
                  <c:v>19684.573239674959</c:v>
                </c:pt>
                <c:pt idx="49">
                  <c:v>20468.879522116429</c:v>
                </c:pt>
                <c:pt idx="50">
                  <c:v>21032.655438939921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0-6A47-BA49-AB904F881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Decomposition of Human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IBD!$Z$3</c:f>
              <c:strCache>
                <c:ptCount val="1"/>
                <c:pt idx="0">
                  <c:v>Stocks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IBD!$Z$4:$Z$54</c:f>
              <c:numCache>
                <c:formatCode>General</c:formatCode>
                <c:ptCount val="51"/>
                <c:pt idx="0">
                  <c:v>3944.4052590125716</c:v>
                </c:pt>
                <c:pt idx="1">
                  <c:v>3886.403848337025</c:v>
                </c:pt>
                <c:pt idx="2">
                  <c:v>3826.3143868771581</c:v>
                </c:pt>
                <c:pt idx="3">
                  <c:v>3764.0617048047352</c:v>
                </c:pt>
                <c:pt idx="4">
                  <c:v>3699.5679261777059</c:v>
                </c:pt>
                <c:pt idx="5">
                  <c:v>3632.7523715201041</c:v>
                </c:pt>
                <c:pt idx="6">
                  <c:v>3563.5314568948265</c:v>
                </c:pt>
                <c:pt idx="7">
                  <c:v>3491.8185893430405</c:v>
                </c:pt>
                <c:pt idx="8">
                  <c:v>3417.5240585593892</c:v>
                </c:pt>
                <c:pt idx="9">
                  <c:v>3340.5549246675278</c:v>
                </c:pt>
                <c:pt idx="10">
                  <c:v>3260.8149019555585</c:v>
                </c:pt>
                <c:pt idx="11">
                  <c:v>3178.2042384259594</c:v>
                </c:pt>
                <c:pt idx="12">
                  <c:v>3092.6195910092938</c:v>
                </c:pt>
                <c:pt idx="13">
                  <c:v>3003.9538962856291</c:v>
                </c:pt>
                <c:pt idx="14">
                  <c:v>2912.0962365519117</c:v>
                </c:pt>
                <c:pt idx="15">
                  <c:v>2816.9317010677805</c:v>
                </c:pt>
                <c:pt idx="16">
                  <c:v>2718.3412423062205</c:v>
                </c:pt>
                <c:pt idx="17">
                  <c:v>2616.201527029245</c:v>
                </c:pt>
                <c:pt idx="18">
                  <c:v>2510.3847820022975</c:v>
                </c:pt>
                <c:pt idx="19">
                  <c:v>2400.7586341543806</c:v>
                </c:pt>
                <c:pt idx="20">
                  <c:v>2287.1859449839385</c:v>
                </c:pt>
                <c:pt idx="21">
                  <c:v>2169.5246390033603</c:v>
                </c:pt>
                <c:pt idx="22">
                  <c:v>2047.6275260074804</c:v>
                </c:pt>
                <c:pt idx="23">
                  <c:v>1921.3421169437502</c:v>
                </c:pt>
                <c:pt idx="24">
                  <c:v>1790.5104331537252</c:v>
                </c:pt>
                <c:pt idx="25">
                  <c:v>1654.9688087472598</c:v>
                </c:pt>
                <c:pt idx="26">
                  <c:v>1514.5476858621607</c:v>
                </c:pt>
                <c:pt idx="27">
                  <c:v>1369.0714025531988</c:v>
                </c:pt>
                <c:pt idx="28">
                  <c:v>1218.357973045114</c:v>
                </c:pt>
                <c:pt idx="29">
                  <c:v>1062.2188600747381</c:v>
                </c:pt>
                <c:pt idx="30">
                  <c:v>900.45873903742859</c:v>
                </c:pt>
                <c:pt idx="31">
                  <c:v>732.87525364277599</c:v>
                </c:pt>
                <c:pt idx="32">
                  <c:v>559.25876277391603</c:v>
                </c:pt>
                <c:pt idx="33">
                  <c:v>379.392078233777</c:v>
                </c:pt>
                <c:pt idx="34">
                  <c:v>193.05019305019303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FE-EA46-8E80-068E7D5E0ABF}"/>
            </c:ext>
          </c:extLst>
        </c:ser>
        <c:ser>
          <c:idx val="1"/>
          <c:order val="1"/>
          <c:tx>
            <c:strRef>
              <c:f>IBD!$AA$3</c:f>
              <c:strCache>
                <c:ptCount val="1"/>
                <c:pt idx="0">
                  <c:v>Bonds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IBD!$AA$4:$AA$54</c:f>
              <c:numCache>
                <c:formatCode>0</c:formatCode>
                <c:ptCount val="51"/>
                <c:pt idx="0">
                  <c:v>4540.6166637803963</c:v>
                </c:pt>
                <c:pt idx="1">
                  <c:v>4379.2454894048678</c:v>
                </c:pt>
                <c:pt idx="2">
                  <c:v>4216.8415395133352</c:v>
                </c:pt>
                <c:pt idx="3">
                  <c:v>4053.5395913106381</c:v>
                </c:pt>
                <c:pt idx="4">
                  <c:v>3889.4854644374318</c:v>
                </c:pt>
                <c:pt idx="5">
                  <c:v>3724.8366413543094</c:v>
                </c:pt>
                <c:pt idx="6">
                  <c:v>3559.7629180825838</c:v>
                </c:pt>
                <c:pt idx="7">
                  <c:v>3394.4470866833972</c:v>
                </c:pt>
                <c:pt idx="8">
                  <c:v>3229.0856509169248</c:v>
                </c:pt>
                <c:pt idx="9">
                  <c:v>3063.8895765862203</c:v>
                </c:pt>
                <c:pt idx="10">
                  <c:v>2899.0850781354088</c:v>
                </c:pt>
                <c:pt idx="11">
                  <c:v>2734.9144431401801</c:v>
                </c:pt>
                <c:pt idx="12">
                  <c:v>2571.6368963993236</c:v>
                </c:pt>
                <c:pt idx="13">
                  <c:v>2409.5295054101107</c:v>
                </c:pt>
                <c:pt idx="14">
                  <c:v>2248.8881290872341</c:v>
                </c:pt>
                <c:pt idx="15">
                  <c:v>2090.0284116653934</c:v>
                </c:pt>
                <c:pt idx="16">
                  <c:v>1933.2868238091773</c:v>
                </c:pt>
                <c:pt idx="17">
                  <c:v>1779.0217530410898</c:v>
                </c:pt>
                <c:pt idx="18">
                  <c:v>1627.6146456893371</c:v>
                </c:pt>
                <c:pt idx="19">
                  <c:v>1479.4712026516113</c:v>
                </c:pt>
                <c:pt idx="20">
                  <c:v>1335.0226313696498</c:v>
                </c:pt>
                <c:pt idx="21">
                  <c:v>1194.7269565120444</c:v>
                </c:pt>
                <c:pt idx="22">
                  <c:v>1059.0703919697307</c:v>
                </c:pt>
                <c:pt idx="23">
                  <c:v>928.56877688002521</c:v>
                </c:pt>
                <c:pt idx="24">
                  <c:v>803.76907851116187</c:v>
                </c:pt>
                <c:pt idx="25">
                  <c:v>685.25096496019819</c:v>
                </c:pt>
                <c:pt idx="26">
                  <c:v>573.62845074310849</c:v>
                </c:pt>
                <c:pt idx="27">
                  <c:v>469.55161848709429</c:v>
                </c:pt>
                <c:pt idx="28">
                  <c:v>373.70842007177816</c:v>
                </c:pt>
                <c:pt idx="29">
                  <c:v>286.82656070829387</c:v>
                </c:pt>
                <c:pt idx="30">
                  <c:v>209.67546959351989</c:v>
                </c:pt>
                <c:pt idx="31">
                  <c:v>143.06836093109843</c:v>
                </c:pt>
                <c:pt idx="32">
                  <c:v>87.86438927168345</c:v>
                </c:pt>
                <c:pt idx="33">
                  <c:v>44.970903292318035</c:v>
                </c:pt>
                <c:pt idx="34">
                  <c:v>15.345802309236328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FE-EA46-8E80-068E7D5E0ABF}"/>
            </c:ext>
          </c:extLst>
        </c:ser>
        <c:ser>
          <c:idx val="2"/>
          <c:order val="2"/>
          <c:tx>
            <c:strRef>
              <c:f>IBD!$AB$3</c:f>
              <c:strCache>
                <c:ptCount val="1"/>
                <c:pt idx="0">
                  <c:v>Cash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IBD!$AB$4:$AB$54</c:f>
              <c:numCache>
                <c:formatCode>0</c:formatCode>
                <c:ptCount val="51"/>
                <c:pt idx="0">
                  <c:v>1375.99122473846</c:v>
                </c:pt>
                <c:pt idx="1">
                  <c:v>1450.3602831006692</c:v>
                </c:pt>
                <c:pt idx="2">
                  <c:v>1522.6300408024008</c:v>
                </c:pt>
                <c:pt idx="3">
                  <c:v>1592.5529658964647</c:v>
                </c:pt>
                <c:pt idx="4">
                  <c:v>1659.8664248291261</c:v>
                </c:pt>
                <c:pt idx="5">
                  <c:v>1724.2919159258458</c:v>
                </c:pt>
                <c:pt idx="6">
                  <c:v>1785.5342672596548</c:v>
                </c:pt>
                <c:pt idx="7">
                  <c:v>1843.2807973311637</c:v>
                </c:pt>
                <c:pt idx="8">
                  <c:v>1897.200436922159</c:v>
                </c:pt>
                <c:pt idx="9">
                  <c:v>1946.9428104150716</c:v>
                </c:pt>
                <c:pt idx="10">
                  <c:v>1992.137274797929</c:v>
                </c:pt>
                <c:pt idx="11">
                  <c:v>2032.3919144987585</c:v>
                </c:pt>
                <c:pt idx="12">
                  <c:v>2067.2924901146171</c:v>
                </c:pt>
                <c:pt idx="13">
                  <c:v>2096.4013390183327</c:v>
                </c:pt>
                <c:pt idx="14">
                  <c:v>2119.2562257406325</c:v>
                </c:pt>
                <c:pt idx="15">
                  <c:v>2135.3691399362765</c:v>
                </c:pt>
                <c:pt idx="16">
                  <c:v>2144.2250396501531</c:v>
                </c:pt>
                <c:pt idx="17">
                  <c:v>2145.2805375027774</c:v>
                </c:pt>
                <c:pt idx="18">
                  <c:v>2137.9625273141087</c:v>
                </c:pt>
                <c:pt idx="19">
                  <c:v>2121.6667485799599</c:v>
                </c:pt>
                <c:pt idx="20">
                  <c:v>2095.7562861062574</c:v>
                </c:pt>
                <c:pt idx="21">
                  <c:v>2059.5600019929952</c:v>
                </c:pt>
                <c:pt idx="22">
                  <c:v>2012.3708970414896</c:v>
                </c:pt>
                <c:pt idx="23">
                  <c:v>1953.4443985355997</c:v>
                </c:pt>
                <c:pt idx="24">
                  <c:v>1881.9965712194262</c:v>
                </c:pt>
                <c:pt idx="25">
                  <c:v>1797.2022481606916</c:v>
                </c:pt>
                <c:pt idx="26">
                  <c:v>1698.1930780501323</c:v>
                </c:pt>
                <c:pt idx="27">
                  <c:v>1584.0554853427038</c:v>
                </c:pt>
                <c:pt idx="28">
                  <c:v>1453.8285394958928</c:v>
                </c:pt>
                <c:pt idx="29">
                  <c:v>1306.501729403813</c:v>
                </c:pt>
                <c:pt idx="30">
                  <c:v>1141.0126389626228</c:v>
                </c:pt>
                <c:pt idx="31">
                  <c:v>956.24451953306561</c:v>
                </c:pt>
                <c:pt idx="32">
                  <c:v>751.02375488919051</c:v>
                </c:pt>
                <c:pt idx="33">
                  <c:v>524.11721405834749</c:v>
                </c:pt>
                <c:pt idx="34">
                  <c:v>274.22948726605318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FE-EA46-8E80-068E7D5E0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+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IBD!$AC$3</c:f>
              <c:strCache>
                <c:ptCount val="1"/>
                <c:pt idx="0">
                  <c:v>Bonds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IBD!$AC$4:$AC$54</c:f>
              <c:numCache>
                <c:formatCode>0</c:formatCode>
                <c:ptCount val="51"/>
                <c:pt idx="0">
                  <c:v>7.4419846310080581E-4</c:v>
                </c:pt>
                <c:pt idx="1">
                  <c:v>7.5278137092920987E-4</c:v>
                </c:pt>
                <c:pt idx="2">
                  <c:v>7.6101776691308025E-4</c:v>
                </c:pt>
                <c:pt idx="3">
                  <c:v>7.6887157875106516E-4</c:v>
                </c:pt>
                <c:pt idx="4">
                  <c:v>7.7630458601546544E-4</c:v>
                </c:pt>
                <c:pt idx="5">
                  <c:v>7.8327631223684148E-4</c:v>
                </c:pt>
                <c:pt idx="6">
                  <c:v>7.8974391200268049E-4</c:v>
                </c:pt>
                <c:pt idx="7">
                  <c:v>7.9566205285100107E-4</c:v>
                </c:pt>
                <c:pt idx="8">
                  <c:v>8.0098279173044509E-4</c:v>
                </c:pt>
                <c:pt idx="9">
                  <c:v>8.0565544578871428E-4</c:v>
                </c:pt>
                <c:pt idx="10">
                  <c:v>8.0962645724109571E-4</c:v>
                </c:pt>
                <c:pt idx="11">
                  <c:v>8.1283925206030729E-4</c:v>
                </c:pt>
                <c:pt idx="12">
                  <c:v>8.1523409221791697E-4</c:v>
                </c:pt>
                <c:pt idx="13">
                  <c:v>8.1674792119620454E-4</c:v>
                </c:pt>
                <c:pt idx="14">
                  <c:v>8.1731420247741437E-4</c:v>
                </c:pt>
                <c:pt idx="15">
                  <c:v>8.1686275070500132E-4</c:v>
                </c:pt>
                <c:pt idx="16">
                  <c:v>8.1531955519856345E-4</c:v>
                </c:pt>
                <c:pt idx="17">
                  <c:v>8.1260659549074873E-4</c:v>
                </c:pt>
                <c:pt idx="18">
                  <c:v>8.0864164854043373E-4</c:v>
                </c:pt>
                <c:pt idx="19">
                  <c:v>8.0333808726194009E-4</c:v>
                </c:pt>
                <c:pt idx="20">
                  <c:v>7.9660466999488663E-4</c:v>
                </c:pt>
                <c:pt idx="21">
                  <c:v>7.8834532052351341E-4</c:v>
                </c:pt>
                <c:pt idx="22">
                  <c:v>7.7845889823788847E-4</c:v>
                </c:pt>
                <c:pt idx="23">
                  <c:v>7.6683895801229996E-4</c:v>
                </c:pt>
                <c:pt idx="24">
                  <c:v>7.5337349935835263E-4</c:v>
                </c:pt>
                <c:pt idx="25">
                  <c:v>7.3794470439173714E-4</c:v>
                </c:pt>
                <c:pt idx="26">
                  <c:v>7.2042866413235703E-4</c:v>
                </c:pt>
                <c:pt idx="27">
                  <c:v>7.0069509263740945E-4</c:v>
                </c:pt>
                <c:pt idx="28">
                  <c:v>6.7860702844611061E-4</c:v>
                </c:pt>
                <c:pt idx="29">
                  <c:v>6.5402052279298008E-4</c:v>
                </c:pt>
                <c:pt idx="30">
                  <c:v>6.2678431402395758E-4</c:v>
                </c:pt>
                <c:pt idx="31">
                  <c:v>5.9673948762602646E-4</c:v>
                </c:pt>
                <c:pt idx="32">
                  <c:v>5.6371912125646891E-4</c:v>
                </c:pt>
                <c:pt idx="33">
                  <c:v>5.2754791413233987E-4</c:v>
                </c:pt>
                <c:pt idx="34">
                  <c:v>4.8804180011412495E-4</c:v>
                </c:pt>
                <c:pt idx="35">
                  <c:v>4.4500754378988332E-4</c:v>
                </c:pt>
                <c:pt idx="36">
                  <c:v>3.9824231883734822E-4</c:v>
                </c:pt>
                <c:pt idx="37">
                  <c:v>3.5302346398991024E-4</c:v>
                </c:pt>
                <c:pt idx="38">
                  <c:v>3.0952292562667509E-4</c:v>
                </c:pt>
                <c:pt idx="39">
                  <c:v>2.6792302617038735E-4</c:v>
                </c:pt>
                <c:pt idx="40">
                  <c:v>2.2841698832006603E-4</c:v>
                </c:pt>
                <c:pt idx="41">
                  <c:v>1.9120948358103621E-4</c:v>
                </c:pt>
                <c:pt idx="42">
                  <c:v>1.5651720616236475E-4</c:v>
                </c:pt>
                <c:pt idx="43">
                  <c:v>1.2456947335725936E-4</c:v>
                </c:pt>
                <c:pt idx="44">
                  <c:v>9.5608853569431333E-5</c:v>
                </c:pt>
                <c:pt idx="45">
                  <c:v>6.9891823197839985E-5</c:v>
                </c:pt>
                <c:pt idx="46">
                  <c:v>4.7689453643699466E-5</c:v>
                </c:pt>
                <c:pt idx="47">
                  <c:v>2.9288129757227822E-5</c:v>
                </c:pt>
                <c:pt idx="48">
                  <c:v>1.499030109743935E-5</c:v>
                </c:pt>
                <c:pt idx="49">
                  <c:v>5.1152674364121103E-6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F-8147-B9E0-6C782A541EBF}"/>
            </c:ext>
          </c:extLst>
        </c:ser>
        <c:ser>
          <c:idx val="1"/>
          <c:order val="1"/>
          <c:tx>
            <c:strRef>
              <c:f>IBD!$AD$3</c:f>
              <c:strCache>
                <c:ptCount val="1"/>
                <c:pt idx="0">
                  <c:v>Cash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IBD!$AD$4:$AD$54</c:f>
              <c:numCache>
                <c:formatCode>0</c:formatCode>
                <c:ptCount val="51"/>
                <c:pt idx="0">
                  <c:v>-1.016998069391286E-4</c:v>
                </c:pt>
                <c:pt idx="1">
                  <c:v>-9.7432741644299086E-5</c:v>
                </c:pt>
                <c:pt idx="2">
                  <c:v>-9.2562165042471361E-5</c:v>
                </c:pt>
                <c:pt idx="3">
                  <c:v>-8.7046864843044096E-5</c:v>
                </c:pt>
                <c:pt idx="4">
                  <c:v>-8.0843377829283849E-5</c:v>
                </c:pt>
                <c:pt idx="5">
                  <c:v>-7.3905879886936292E-5</c:v>
                </c:pt>
                <c:pt idx="6">
                  <c:v>-6.6186071005777084E-5</c:v>
                </c:pt>
                <c:pt idx="7">
                  <c:v>-5.7633055034159815E-5</c:v>
                </c:pt>
                <c:pt idx="8">
                  <c:v>-4.819321395726692E-5</c:v>
                </c:pt>
                <c:pt idx="9">
                  <c:v>-3.781007646007264E-5</c:v>
                </c:pt>
                <c:pt idx="10">
                  <c:v>-2.642418052588118E-5</c:v>
                </c:pt>
                <c:pt idx="11">
                  <c:v>-1.3972929810788593E-5</c:v>
                </c:pt>
                <c:pt idx="12">
                  <c:v>-3.9044352340773976E-7</c:v>
                </c:pt>
                <c:pt idx="13">
                  <c:v>1.4392600472194761E-5</c:v>
                </c:pt>
                <c:pt idx="14">
                  <c:v>3.0449129624353019E-5</c:v>
                </c:pt>
                <c:pt idx="15">
                  <c:v>4.7855848038801259E-5</c:v>
                </c:pt>
                <c:pt idx="16">
                  <c:v>6.6693415520115325E-5</c:v>
                </c:pt>
                <c:pt idx="17">
                  <c:v>8.7046634642303682E-5</c:v>
                </c:pt>
                <c:pt idx="18">
                  <c:v>1.0900464619527969E-4</c:v>
                </c:pt>
                <c:pt idx="19">
                  <c:v>1.3266113336848754E-4</c:v>
                </c:pt>
                <c:pt idx="20">
                  <c:v>1.5811453504814956E-4</c:v>
                </c:pt>
                <c:pt idx="21">
                  <c:v>1.8546826862038347E-4</c:v>
                </c:pt>
                <c:pt idx="22">
                  <c:v>2.1483096268888656E-4</c:v>
                </c:pt>
                <c:pt idx="23">
                  <c:v>2.4631670013301017E-4</c:v>
                </c:pt>
                <c:pt idx="24">
                  <c:v>2.8004527194986381E-4</c:v>
                </c:pt>
                <c:pt idx="25">
                  <c:v>3.1614244234264358E-4</c:v>
                </c:pt>
                <c:pt idx="26">
                  <c:v>3.5474022553671147E-4</c:v>
                </c:pt>
                <c:pt idx="27">
                  <c:v>3.9597717482504023E-4</c:v>
                </c:pt>
                <c:pt idx="28">
                  <c:v>4.3999868436558833E-4</c:v>
                </c:pt>
                <c:pt idx="29">
                  <c:v>4.8695730427495256E-4</c:v>
                </c:pt>
                <c:pt idx="30">
                  <c:v>5.3701306958533394E-4</c:v>
                </c:pt>
                <c:pt idx="31">
                  <c:v>5.9033384365545047E-4</c:v>
                </c:pt>
                <c:pt idx="32">
                  <c:v>6.4709567665063796E-4</c:v>
                </c:pt>
                <c:pt idx="33">
                  <c:v>7.0748317973290918E-4</c:v>
                </c:pt>
                <c:pt idx="34">
                  <c:v>7.7168991562842908E-4</c:v>
                </c:pt>
                <c:pt idx="35">
                  <c:v>8.3991880626752165E-4</c:v>
                </c:pt>
                <c:pt idx="36">
                  <c:v>8.1238255822120445E-4</c:v>
                </c:pt>
                <c:pt idx="37">
                  <c:v>7.8181391060981392E-4</c:v>
                </c:pt>
                <c:pt idx="38">
                  <c:v>7.4801119646504348E-4</c:v>
                </c:pt>
                <c:pt idx="39">
                  <c:v>7.1076177836316512E-4</c:v>
                </c:pt>
                <c:pt idx="40">
                  <c:v>6.6984151230415777E-4</c:v>
                </c:pt>
                <c:pt idx="41">
                  <c:v>6.2501418705567197E-4</c:v>
                </c:pt>
                <c:pt idx="42">
                  <c:v>5.7603093788707762E-4</c:v>
                </c:pt>
                <c:pt idx="43">
                  <c:v>5.2262963357317172E-4</c:v>
                </c:pt>
                <c:pt idx="44">
                  <c:v>4.6453423549960848E-4</c:v>
                </c:pt>
                <c:pt idx="45">
                  <c:v>4.0145412765258055E-4</c:v>
                </c:pt>
                <c:pt idx="46">
                  <c:v>3.330834162237295E-4</c:v>
                </c:pt>
                <c:pt idx="47">
                  <c:v>2.591001975075496E-4</c:v>
                </c:pt>
                <c:pt idx="48">
                  <c:v>1.7916579271263369E-4</c:v>
                </c:pt>
                <c:pt idx="49">
                  <c:v>9.2923948249862411E-5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0F-8147-B9E0-6C782A541EBF}"/>
            </c:ext>
          </c:extLst>
        </c:ser>
        <c:ser>
          <c:idx val="2"/>
          <c:order val="2"/>
          <c:tx>
            <c:strRef>
              <c:f>IBD!$AE$3</c:f>
              <c:strCache>
                <c:ptCount val="1"/>
                <c:pt idx="0">
                  <c:v>Bonds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IBD!$AE$4:$AE$54</c:f>
              <c:numCache>
                <c:formatCode>General</c:formatCode>
                <c:ptCount val="51"/>
                <c:pt idx="0">
                  <c:v>-8926.6586547276456</c:v>
                </c:pt>
                <c:pt idx="1">
                  <c:v>-8680.5485049350154</c:v>
                </c:pt>
                <c:pt idx="2">
                  <c:v>-8434.5367992022984</c:v>
                </c:pt>
                <c:pt idx="3">
                  <c:v>-8188.7259193518066</c:v>
                </c:pt>
                <c:pt idx="4">
                  <c:v>-7943.2223031011326</c:v>
                </c:pt>
                <c:pt idx="5">
                  <c:v>-7698.1365653462062</c:v>
                </c:pt>
                <c:pt idx="6">
                  <c:v>-7453.5836226733518</c:v>
                </c:pt>
                <c:pt idx="7">
                  <c:v>-7209.6828211809616</c:v>
                </c:pt>
                <c:pt idx="8">
                  <c:v>-6966.5580676933196</c:v>
                </c:pt>
                <c:pt idx="9">
                  <c:v>-6724.3379644512088</c:v>
                </c:pt>
                <c:pt idx="10">
                  <c:v>-6483.1559473658526</c:v>
                </c:pt>
                <c:pt idx="11">
                  <c:v>-6243.1504279248174</c:v>
                </c:pt>
                <c:pt idx="12">
                  <c:v>-6004.4649388407088</c:v>
                </c:pt>
                <c:pt idx="13">
                  <c:v>-5767.248283535574</c:v>
                </c:pt>
                <c:pt idx="14">
                  <c:v>-5531.6546895562142</c:v>
                </c:pt>
                <c:pt idx="15">
                  <c:v>-5297.8439660177773</c:v>
                </c:pt>
                <c:pt idx="16">
                  <c:v>-5065.9816651754991</c:v>
                </c:pt>
                <c:pt idx="17">
                  <c:v>-4836.2392482266332</c:v>
                </c:pt>
                <c:pt idx="18">
                  <c:v>-4608.7942554472547</c:v>
                </c:pt>
                <c:pt idx="19">
                  <c:v>-4383.8304807709246</c:v>
                </c:pt>
                <c:pt idx="20">
                  <c:v>-4161.5381509188755</c:v>
                </c:pt>
                <c:pt idx="21">
                  <c:v>-3942.1141091939508</c:v>
                </c:pt>
                <c:pt idx="22">
                  <c:v>-3725.7620040531756</c:v>
                </c:pt>
                <c:pt idx="23">
                  <c:v>-3512.6924825766032</c:v>
                </c:pt>
                <c:pt idx="24">
                  <c:v>-3303.1233889528603</c:v>
                </c:pt>
                <c:pt idx="25">
                  <c:v>-3097.2799681046517</c:v>
                </c:pt>
                <c:pt idx="26">
                  <c:v>-2895.3950745804477</c:v>
                </c:pt>
                <c:pt idx="27">
                  <c:v>-2697.709386841545</c:v>
                </c:pt>
                <c:pt idx="28">
                  <c:v>-2504.4716270767694</c:v>
                </c:pt>
                <c:pt idx="29">
                  <c:v>-2315.938786680179</c:v>
                </c:pt>
                <c:pt idx="30">
                  <c:v>-2132.3763575304083</c:v>
                </c:pt>
                <c:pt idx="31">
                  <c:v>-1954.0585692134873</c:v>
                </c:pt>
                <c:pt idx="32">
                  <c:v>-1781.2686323343924</c:v>
                </c:pt>
                <c:pt idx="33">
                  <c:v>-1614.2989880659607</c:v>
                </c:pt>
                <c:pt idx="34">
                  <c:v>-1453.4515640873713</c:v>
                </c:pt>
                <c:pt idx="35">
                  <c:v>-1299.0380370679256</c:v>
                </c:pt>
                <c:pt idx="36">
                  <c:v>-1151.3801018555807</c:v>
                </c:pt>
                <c:pt idx="37">
                  <c:v>-1010.8097475334287</c:v>
                </c:pt>
                <c:pt idx="38">
                  <c:v>-877.66954051116159</c:v>
                </c:pt>
                <c:pt idx="39">
                  <c:v>-752.31291482250379</c:v>
                </c:pt>
                <c:pt idx="40">
                  <c:v>-635.10446980360894</c:v>
                </c:pt>
                <c:pt idx="41">
                  <c:v>-526.42027533154283</c:v>
                </c:pt>
                <c:pt idx="42">
                  <c:v>-426.64818480618612</c:v>
                </c:pt>
                <c:pt idx="43">
                  <c:v>-336.18815606319606</c:v>
                </c:pt>
                <c:pt idx="44">
                  <c:v>-255.45258041007733</c:v>
                </c:pt>
                <c:pt idx="45">
                  <c:v>-184.86661998192213</c:v>
                </c:pt>
                <c:pt idx="46">
                  <c:v>-124.8685536179903</c:v>
                </c:pt>
                <c:pt idx="47">
                  <c:v>-75.910131465021848</c:v>
                </c:pt>
                <c:pt idx="48">
                  <c:v>-38.456938518001003</c:v>
                </c:pt>
                <c:pt idx="49">
                  <c:v>-12.988767314026829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0F-8147-B9E0-6C782A541EBF}"/>
            </c:ext>
          </c:extLst>
        </c:ser>
        <c:ser>
          <c:idx val="3"/>
          <c:order val="3"/>
          <c:tx>
            <c:strRef>
              <c:f>IBD!$AF$3</c:f>
              <c:strCache>
                <c:ptCount val="1"/>
                <c:pt idx="0">
                  <c:v>Cash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IBD!$AF$4:$AF$54</c:f>
              <c:numCache>
                <c:formatCode>0</c:formatCode>
                <c:ptCount val="51"/>
                <c:pt idx="0">
                  <c:v>1070.7571813146697</c:v>
                </c:pt>
                <c:pt idx="1">
                  <c:v>917.52900205378046</c:v>
                </c:pt>
                <c:pt idx="2">
                  <c:v>766.2569062634384</c:v>
                </c:pt>
                <c:pt idx="3">
                  <c:v>617.08042855417079</c:v>
                </c:pt>
                <c:pt idx="4">
                  <c:v>470.14390248754262</c:v>
                </c:pt>
                <c:pt idx="5">
                  <c:v>325.59659672034377</c:v>
                </c:pt>
                <c:pt idx="6">
                  <c:v>183.59285467497193</c:v>
                </c:pt>
                <c:pt idx="7">
                  <c:v>44.292237822615789</c:v>
                </c:pt>
                <c:pt idx="8">
                  <c:v>-92.140327332192101</c:v>
                </c:pt>
                <c:pt idx="9">
                  <c:v>-225.53439847481604</c:v>
                </c:pt>
                <c:pt idx="10">
                  <c:v>-355.71386281869218</c:v>
                </c:pt>
                <c:pt idx="11">
                  <c:v>-482.49677846341729</c:v>
                </c:pt>
                <c:pt idx="12">
                  <c:v>-605.69521167529092</c:v>
                </c:pt>
                <c:pt idx="13">
                  <c:v>-725.11506999074754</c:v>
                </c:pt>
                <c:pt idx="14">
                  <c:v>-840.55593104063428</c:v>
                </c:pt>
                <c:pt idx="15">
                  <c:v>-951.81086699100706</c:v>
                </c:pt>
                <c:pt idx="16">
                  <c:v>-1058.6662644934604</c:v>
                </c:pt>
                <c:pt idx="17">
                  <c:v>-1160.9016400357059</c:v>
                </c:pt>
                <c:pt idx="18">
                  <c:v>-1258.2894505803324</c:v>
                </c:pt>
                <c:pt idx="19">
                  <c:v>-1350.5948993772136</c:v>
                </c:pt>
                <c:pt idx="20">
                  <c:v>-1437.5757368322256</c:v>
                </c:pt>
                <c:pt idx="21">
                  <c:v>-1518.9820563121712</c:v>
                </c:pt>
                <c:pt idx="22">
                  <c:v>-1594.5560847630695</c:v>
                </c:pt>
                <c:pt idx="23">
                  <c:v>-1664.0319680159669</c:v>
                </c:pt>
                <c:pt idx="24">
                  <c:v>-1727.1355506515611</c:v>
                </c:pt>
                <c:pt idx="25">
                  <c:v>-1783.5841502918574</c:v>
                </c:pt>
                <c:pt idx="26">
                  <c:v>-1833.0863261839922</c:v>
                </c:pt>
                <c:pt idx="27">
                  <c:v>-1875.3416419381829</c:v>
                </c:pt>
                <c:pt idx="28">
                  <c:v>-1910.0404222785555</c:v>
                </c:pt>
                <c:pt idx="29">
                  <c:v>-1936.8635036622518</c:v>
                </c:pt>
                <c:pt idx="30">
                  <c:v>-1955.4819786188714</c:v>
                </c:pt>
                <c:pt idx="31">
                  <c:v>-1965.5569336587769</c:v>
                </c:pt>
                <c:pt idx="32">
                  <c:v>-1966.739180595318</c:v>
                </c:pt>
                <c:pt idx="33">
                  <c:v>-1958.6689811223441</c:v>
                </c:pt>
                <c:pt idx="34">
                  <c:v>-1940.9757644846993</c:v>
                </c:pt>
                <c:pt idx="35">
                  <c:v>-1913.2778380755865</c:v>
                </c:pt>
                <c:pt idx="36">
                  <c:v>-1875.1820907908002</c:v>
                </c:pt>
                <c:pt idx="37">
                  <c:v>-1826.2836889658804</c:v>
                </c:pt>
                <c:pt idx="38">
                  <c:v>-1766.1657647181344</c:v>
                </c:pt>
                <c:pt idx="39">
                  <c:v>-1694.3990965113767</c:v>
                </c:pt>
                <c:pt idx="40">
                  <c:v>-1610.5417817569505</c:v>
                </c:pt>
                <c:pt idx="41">
                  <c:v>-1514.1389012602276</c:v>
                </c:pt>
                <c:pt idx="42">
                  <c:v>-1404.7221753174194</c:v>
                </c:pt>
                <c:pt idx="43">
                  <c:v>-1281.8096112628818</c:v>
                </c:pt>
                <c:pt idx="44">
                  <c:v>-1144.9051422625218</c:v>
                </c:pt>
                <c:pt idx="45">
                  <c:v>-993.49825714412907</c:v>
                </c:pt>
                <c:pt idx="46">
                  <c:v>-827.06362105058213</c:v>
                </c:pt>
                <c:pt idx="47">
                  <c:v>-645.06068669692161</c:v>
                </c:pt>
                <c:pt idx="48">
                  <c:v>-446.93329600718158</c:v>
                </c:pt>
                <c:pt idx="49">
                  <c:v>-232.10927190165944</c:v>
                </c:pt>
                <c:pt idx="50">
                  <c:v>-250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0F-8147-B9E0-6C782A541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IBD!$AM$4:$AM$54</c:f>
              <c:numCache>
                <c:formatCode>General</c:formatCode>
                <c:ptCount val="51"/>
                <c:pt idx="0">
                  <c:v>-2644.9532117180597</c:v>
                </c:pt>
                <c:pt idx="1">
                  <c:v>-2463.9527537012491</c:v>
                </c:pt>
                <c:pt idx="2">
                  <c:v>-2280.798469155161</c:v>
                </c:pt>
                <c:pt idx="3">
                  <c:v>-2095.4787061342922</c:v>
                </c:pt>
                <c:pt idx="4">
                  <c:v>-1907.98241619905</c:v>
                </c:pt>
                <c:pt idx="5">
                  <c:v>-1718.2991925340402</c:v>
                </c:pt>
                <c:pt idx="6">
                  <c:v>-1526.4193097103723</c:v>
                </c:pt>
                <c:pt idx="7">
                  <c:v>-1332.3337651557536</c:v>
                </c:pt>
                <c:pt idx="8">
                  <c:v>-1136.0343223986283</c:v>
                </c:pt>
                <c:pt idx="9">
                  <c:v>-937.51355615504372</c:v>
                </c:pt>
                <c:pt idx="10">
                  <c:v>-736.76489932948607</c:v>
                </c:pt>
                <c:pt idx="11">
                  <c:v>-533.7826920036191</c:v>
                </c:pt>
                <c:pt idx="12">
                  <c:v>-328.5622324895312</c:v>
                </c:pt>
                <c:pt idx="13">
                  <c:v>-121.09983052703092</c:v>
                </c:pt>
                <c:pt idx="14">
                  <c:v>88.60713729258714</c:v>
                </c:pt>
                <c:pt idx="15">
                  <c:v>303.93346367357935</c:v>
                </c:pt>
                <c:pt idx="16">
                  <c:v>529.45312315954789</c:v>
                </c:pt>
                <c:pt idx="17">
                  <c:v>766.58153529366791</c:v>
                </c:pt>
                <c:pt idx="18">
                  <c:v>1015.6253380406852</c:v>
                </c:pt>
                <c:pt idx="19">
                  <c:v>1276.5981249074275</c:v>
                </c:pt>
                <c:pt idx="20">
                  <c:v>1549.5596601263151</c:v>
                </c:pt>
                <c:pt idx="21">
                  <c:v>1834.6133037395248</c:v>
                </c:pt>
                <c:pt idx="22">
                  <c:v>2131.9031349968077</c:v>
                </c:pt>
                <c:pt idx="23">
                  <c:v>2441.6110581036442</c:v>
                </c:pt>
                <c:pt idx="24">
                  <c:v>2763.9540554842497</c:v>
                </c:pt>
                <c:pt idx="25">
                  <c:v>3099.1816746840977</c:v>
                </c:pt>
                <c:pt idx="26">
                  <c:v>3447.573784623065</c:v>
                </c:pt>
                <c:pt idx="27">
                  <c:v>3809.4386061684654</c:v>
                </c:pt>
                <c:pt idx="28">
                  <c:v>4185.1110043006511</c:v>
                </c:pt>
                <c:pt idx="29">
                  <c:v>4574.9510198265853</c:v>
                </c:pt>
                <c:pt idx="30">
                  <c:v>4979.342614486839</c:v>
                </c:pt>
                <c:pt idx="31">
                  <c:v>5398.6926023022061</c:v>
                </c:pt>
                <c:pt idx="32">
                  <c:v>5833.4297407638569</c:v>
                </c:pt>
                <c:pt idx="33">
                  <c:v>6284.0039571337174</c:v>
                </c:pt>
                <c:pt idx="34">
                  <c:v>6750.8856871659864</c:v>
                </c:pt>
                <c:pt idx="35">
                  <c:v>7234.5653056771116</c:v>
                </c:pt>
                <c:pt idx="36">
                  <c:v>7535.5526304048735</c:v>
                </c:pt>
                <c:pt idx="37">
                  <c:v>7847.740937043648</c:v>
                </c:pt>
                <c:pt idx="38">
                  <c:v>8171.5297666379993</c:v>
                </c:pt>
                <c:pt idx="39">
                  <c:v>8507.3393858158252</c:v>
                </c:pt>
                <c:pt idx="40">
                  <c:v>8855.6114187233288</c:v>
                </c:pt>
                <c:pt idx="41">
                  <c:v>9216.8094725171431</c:v>
                </c:pt>
                <c:pt idx="42">
                  <c:v>9591.4197587280159</c:v>
                </c:pt>
                <c:pt idx="43">
                  <c:v>9979.9517130285931</c:v>
                </c:pt>
                <c:pt idx="44">
                  <c:v>10382.938616145086</c:v>
                </c:pt>
                <c:pt idx="45">
                  <c:v>10800.938218848174</c:v>
                </c:pt>
                <c:pt idx="46">
                  <c:v>11234.533374140705</c:v>
                </c:pt>
                <c:pt idx="47">
                  <c:v>11684.332679927302</c:v>
                </c:pt>
                <c:pt idx="48">
                  <c:v>12150.971135601829</c:v>
                </c:pt>
                <c:pt idx="49">
                  <c:v>12635.110816121254</c:v>
                </c:pt>
                <c:pt idx="50">
                  <c:v>12983.12064132094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3-2246-A889-5F1CECC0A62F}"/>
            </c:ext>
          </c:extLst>
        </c:ser>
        <c:ser>
          <c:idx val="1"/>
          <c:order val="1"/>
          <c:tx>
            <c:strRef>
              <c:f>IBD!$AN$3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IBD!$AN$4:$AN$54</c:f>
              <c:numCache>
                <c:formatCode>0</c:formatCode>
                <c:ptCount val="51"/>
                <c:pt idx="0">
                  <c:v>4710.9042585724137</c:v>
                </c:pt>
                <c:pt idx="1">
                  <c:v>4656.9150364077204</c:v>
                </c:pt>
                <c:pt idx="2">
                  <c:v>4604.0734781016954</c:v>
                </c:pt>
                <c:pt idx="3">
                  <c:v>4552.3313088371997</c:v>
                </c:pt>
                <c:pt idx="4">
                  <c:v>4501.632439853779</c:v>
                </c:pt>
                <c:pt idx="5">
                  <c:v>4451.9124354621008</c:v>
                </c:pt>
                <c:pt idx="6">
                  <c:v>4403.0979516429697</c:v>
                </c:pt>
                <c:pt idx="7">
                  <c:v>4355.106144882333</c:v>
                </c:pt>
                <c:pt idx="8">
                  <c:v>4307.8440498337932</c:v>
                </c:pt>
                <c:pt idx="9">
                  <c:v>4261.2079243376638</c:v>
                </c:pt>
                <c:pt idx="10">
                  <c:v>4215.0825602605046</c:v>
                </c:pt>
                <c:pt idx="11">
                  <c:v>4169.3405585509709</c:v>
                </c:pt>
                <c:pt idx="12">
                  <c:v>4123.8415668372336</c:v>
                </c:pt>
                <c:pt idx="13">
                  <c:v>4078.4314778171915</c:v>
                </c:pt>
                <c:pt idx="14">
                  <c:v>4032.9415866159025</c:v>
                </c:pt>
                <c:pt idx="15">
                  <c:v>3988.0310286749736</c:v>
                </c:pt>
                <c:pt idx="16">
                  <c:v>3944.6426174132084</c:v>
                </c:pt>
                <c:pt idx="17">
                  <c:v>3902.9124481596764</c:v>
                </c:pt>
                <c:pt idx="18">
                  <c:v>3862.6813311270143</c:v>
                </c:pt>
                <c:pt idx="19">
                  <c:v>3823.697664546678</c:v>
                </c:pt>
                <c:pt idx="20">
                  <c:v>3785.7011242221188</c:v>
                </c:pt>
                <c:pt idx="21">
                  <c:v>3748.4208500223071</c:v>
                </c:pt>
                <c:pt idx="22">
                  <c:v>3711.573498875619</c:v>
                </c:pt>
                <c:pt idx="23">
                  <c:v>3674.8612326194684</c:v>
                </c:pt>
                <c:pt idx="24">
                  <c:v>3637.9696792276927</c:v>
                </c:pt>
                <c:pt idx="25">
                  <c:v>3600.5658860575886</c:v>
                </c:pt>
                <c:pt idx="26">
                  <c:v>3562.2962710299817</c:v>
                </c:pt>
                <c:pt idx="27">
                  <c:v>3522.7845698397741</c:v>
                </c:pt>
                <c:pt idx="28">
                  <c:v>3481.629772734404</c:v>
                </c:pt>
                <c:pt idx="29">
                  <c:v>3438.404041926693</c:v>
                </c:pt>
                <c:pt idx="30">
                  <c:v>3392.6505995336411</c:v>
                </c:pt>
                <c:pt idx="31">
                  <c:v>3343.8815755291466</c:v>
                </c:pt>
                <c:pt idx="32">
                  <c:v>3291.5758052280307</c:v>
                </c:pt>
                <c:pt idx="33">
                  <c:v>3235.1765660676019</c:v>
                </c:pt>
                <c:pt idx="34">
                  <c:v>3174.0892437903794</c:v>
                </c:pt>
                <c:pt idx="35">
                  <c:v>3107.6789184796598</c:v>
                </c:pt>
                <c:pt idx="36">
                  <c:v>3035.26786121448</c:v>
                </c:pt>
                <c:pt idx="37">
                  <c:v>2972.7446287708767</c:v>
                </c:pt>
                <c:pt idx="38">
                  <c:v>2920.5516726477358</c:v>
                </c:pt>
                <c:pt idx="39">
                  <c:v>2879.1474933534337</c:v>
                </c:pt>
                <c:pt idx="40">
                  <c:v>2849.0070960674529</c:v>
                </c:pt>
                <c:pt idx="41">
                  <c:v>2830.6224522513448</c:v>
                </c:pt>
                <c:pt idx="42">
                  <c:v>2824.5029679709842</c:v>
                </c:pt>
                <c:pt idx="43">
                  <c:v>2831.1759597508708</c:v>
                </c:pt>
                <c:pt idx="44">
                  <c:v>2851.1871388374952</c:v>
                </c:pt>
                <c:pt idx="45">
                  <c:v>2885.1011048021423</c:v>
                </c:pt>
                <c:pt idx="46">
                  <c:v>2933.5018494637129</c:v>
                </c:pt>
                <c:pt idx="47">
                  <c:v>2996.9932721587174</c:v>
                </c:pt>
                <c:pt idx="48">
                  <c:v>3076.1997074281571</c:v>
                </c:pt>
                <c:pt idx="49">
                  <c:v>3171.7664662290731</c:v>
                </c:pt>
                <c:pt idx="50">
                  <c:v>3245.780160330235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83-2246-A889-5F1CECC0A62F}"/>
            </c:ext>
          </c:extLst>
        </c:ser>
        <c:ser>
          <c:idx val="2"/>
          <c:order val="2"/>
          <c:tx>
            <c:strRef>
              <c:f>IBD!$AO$3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IBD!$AO$4:$AO$54</c:f>
              <c:numCache>
                <c:formatCode>0</c:formatCode>
                <c:ptCount val="51"/>
                <c:pt idx="0">
                  <c:v>-1965.9510468543535</c:v>
                </c:pt>
                <c:pt idx="1">
                  <c:v>-1841.5822827064712</c:v>
                </c:pt>
                <c:pt idx="2">
                  <c:v>-1717.0459649465354</c:v>
                </c:pt>
                <c:pt idx="3">
                  <c:v>-1592.2575978957072</c:v>
                </c:pt>
                <c:pt idx="4">
                  <c:v>-1467.1236077811884</c:v>
                </c:pt>
                <c:pt idx="5">
                  <c:v>-1341.5407625154664</c:v>
                </c:pt>
                <c:pt idx="6">
                  <c:v>-1215.3955612903083</c:v>
                </c:pt>
                <c:pt idx="7">
                  <c:v>-1088.5635925714287</c:v>
                </c:pt>
                <c:pt idx="8">
                  <c:v>-960.90885901727211</c:v>
                </c:pt>
                <c:pt idx="9">
                  <c:v>-832.28306778056026</c:v>
                </c:pt>
                <c:pt idx="10">
                  <c:v>-702.52488458341008</c:v>
                </c:pt>
                <c:pt idx="11">
                  <c:v>-571.45914988614584</c:v>
                </c:pt>
                <c:pt idx="12">
                  <c:v>-438.89605539657123</c:v>
                </c:pt>
                <c:pt idx="13">
                  <c:v>-304.63027908950471</c:v>
                </c:pt>
                <c:pt idx="14">
                  <c:v>-168.44007682666415</c:v>
                </c:pt>
                <c:pt idx="15">
                  <c:v>-28.838209846815289</c:v>
                </c:pt>
                <c:pt idx="16">
                  <c:v>116.12507337222564</c:v>
                </c:pt>
                <c:pt idx="17">
                  <c:v>267.25074854577088</c:v>
                </c:pt>
                <c:pt idx="18">
                  <c:v>424.95055867748056</c:v>
                </c:pt>
                <c:pt idx="19">
                  <c:v>589.55001898898877</c:v>
                </c:pt>
                <c:pt idx="20">
                  <c:v>761.41516650222593</c:v>
                </c:pt>
                <c:pt idx="21">
                  <c:v>940.95290766577364</c:v>
                </c:pt>
                <c:pt idx="22">
                  <c:v>1128.6113174622028</c:v>
                </c:pt>
                <c:pt idx="23">
                  <c:v>1324.8799979312016</c:v>
                </c:pt>
                <c:pt idx="24">
                  <c:v>1530.290560182912</c:v>
                </c:pt>
                <c:pt idx="25">
                  <c:v>1745.417264858324</c:v>
                </c:pt>
                <c:pt idx="26">
                  <c:v>1970.8778374731667</c:v>
                </c:pt>
                <c:pt idx="27">
                  <c:v>2207.3344638453191</c:v>
                </c:pt>
                <c:pt idx="28">
                  <c:v>2455.4949644019102</c:v>
                </c:pt>
                <c:pt idx="29">
                  <c:v>2716.1141428646224</c:v>
                </c:pt>
                <c:pt idx="30">
                  <c:v>2989.9953034471559</c:v>
                </c:pt>
                <c:pt idx="31">
                  <c:v>3277.9919304915102</c:v>
                </c:pt>
                <c:pt idx="32">
                  <c:v>3581.0095249194255</c:v>
                </c:pt>
                <c:pt idx="33">
                  <c:v>3900.0075926667882</c:v>
                </c:pt>
                <c:pt idx="34">
                  <c:v>4236.0017812087153</c:v>
                </c:pt>
                <c:pt idx="35">
                  <c:v>4590.0661612573094</c:v>
                </c:pt>
                <c:pt idx="36">
                  <c:v>4663.3357516580445</c:v>
                </c:pt>
                <c:pt idx="37">
                  <c:v>4729.947053858119</c:v>
                </c:pt>
                <c:pt idx="38">
                  <c:v>4789.6310303629962</c:v>
                </c:pt>
                <c:pt idx="39">
                  <c:v>4842.1139585014525</c:v>
                </c:pt>
                <c:pt idx="40">
                  <c:v>4887.1173368430682</c:v>
                </c:pt>
                <c:pt idx="41">
                  <c:v>4924.3577810773804</c:v>
                </c:pt>
                <c:pt idx="42">
                  <c:v>4953.5469100158471</c:v>
                </c:pt>
                <c:pt idx="43">
                  <c:v>4974.3912224538262</c:v>
                </c:pt>
                <c:pt idx="44">
                  <c:v>4986.5919657019658</c:v>
                </c:pt>
                <c:pt idx="45">
                  <c:v>4989.8449966638254</c:v>
                </c:pt>
                <c:pt idx="46">
                  <c:v>4983.8406363992235</c:v>
                </c:pt>
                <c:pt idx="47">
                  <c:v>4968.2635191698228</c:v>
                </c:pt>
                <c:pt idx="48">
                  <c:v>4942.7924370140618</c:v>
                </c:pt>
                <c:pt idx="49">
                  <c:v>4907.1001809425725</c:v>
                </c:pt>
                <c:pt idx="50">
                  <c:v>5053.7545372887453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83-2246-A889-5F1CECC0A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Portfolio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IBD!$AV$3</c:f>
              <c:strCache>
                <c:ptCount val="1"/>
                <c:pt idx="0">
                  <c:v>Stock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IBD!$AV$4:$AV$54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2.2414546424874181E-2</c:v>
                </c:pt>
                <c:pt idx="15">
                  <c:v>7.1293563346010377E-2</c:v>
                </c:pt>
                <c:pt idx="16">
                  <c:v>0.11534371539405723</c:v>
                </c:pt>
                <c:pt idx="17">
                  <c:v>0.15528077243387137</c:v>
                </c:pt>
                <c:pt idx="18">
                  <c:v>0.19150972589224263</c:v>
                </c:pt>
                <c:pt idx="19">
                  <c:v>0.22436427416242088</c:v>
                </c:pt>
                <c:pt idx="20">
                  <c:v>0.25416467475364296</c:v>
                </c:pt>
                <c:pt idx="21">
                  <c:v>0.28121044484997298</c:v>
                </c:pt>
                <c:pt idx="22">
                  <c:v>0.30577685621259393</c:v>
                </c:pt>
                <c:pt idx="23">
                  <c:v>0.3281138915874634</c:v>
                </c:pt>
                <c:pt idx="24">
                  <c:v>0.34844672026361173</c:v>
                </c:pt>
                <c:pt idx="25">
                  <c:v>0.36697705002624481</c:v>
                </c:pt>
                <c:pt idx="26">
                  <c:v>0.38388493092672255</c:v>
                </c:pt>
                <c:pt idx="27">
                  <c:v>0.39933073943111519</c:v>
                </c:pt>
                <c:pt idx="28">
                  <c:v>0.41345717598417908</c:v>
                </c:pt>
                <c:pt idx="29">
                  <c:v>0.42639117859227871</c:v>
                </c:pt>
                <c:pt idx="30">
                  <c:v>0.43824570028668153</c:v>
                </c:pt>
                <c:pt idx="31">
                  <c:v>0.4491213270366885</c:v>
                </c:pt>
                <c:pt idx="32">
                  <c:v>0.45910773033149455</c:v>
                </c:pt>
                <c:pt idx="33">
                  <c:v>0.4682849590358541</c:v>
                </c:pt>
                <c:pt idx="34">
                  <c:v>0.47672458082404667</c:v>
                </c:pt>
                <c:pt idx="35">
                  <c:v>0.48449068623324715</c:v>
                </c:pt>
                <c:pt idx="36">
                  <c:v>0.49464850629520091</c:v>
                </c:pt>
                <c:pt idx="37">
                  <c:v>0.5046638334110124</c:v>
                </c:pt>
                <c:pt idx="38">
                  <c:v>0.51452447475386986</c:v>
                </c:pt>
                <c:pt idx="39">
                  <c:v>0.52421890654110648</c:v>
                </c:pt>
                <c:pt idx="40">
                  <c:v>0.5337362828043869</c:v>
                </c:pt>
                <c:pt idx="41">
                  <c:v>0.54306644333110299</c:v>
                </c:pt>
                <c:pt idx="42">
                  <c:v>0.55219992085734615</c:v>
                </c:pt>
                <c:pt idx="43">
                  <c:v>0.5611279475069646</c:v>
                </c:pt>
                <c:pt idx="44">
                  <c:v>0.56984246039650521</c:v>
                </c:pt>
                <c:pt idx="45">
                  <c:v>0.57833610626404308</c:v>
                </c:pt>
                <c:pt idx="46">
                  <c:v>0.58660224493218749</c:v>
                </c:pt>
                <c:pt idx="47">
                  <c:v>0.59463495138255096</c:v>
                </c:pt>
                <c:pt idx="48">
                  <c:v>0.60242901620073219</c:v>
                </c:pt>
                <c:pt idx="49">
                  <c:v>0.60997994414698231</c:v>
                </c:pt>
                <c:pt idx="50">
                  <c:v>0.61003293219555677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58-2A4A-8D2D-0E53BFCC3E75}"/>
            </c:ext>
          </c:extLst>
        </c:ser>
        <c:ser>
          <c:idx val="1"/>
          <c:order val="1"/>
          <c:tx>
            <c:strRef>
              <c:f>IBD!$AW$3</c:f>
              <c:strCache>
                <c:ptCount val="1"/>
                <c:pt idx="0">
                  <c:v>Bond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IBD!$AW$4:$AW$54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0.97758545357512583</c:v>
                </c:pt>
                <c:pt idx="15">
                  <c:v>0.92870643665398966</c:v>
                </c:pt>
                <c:pt idx="16">
                  <c:v>0.85935792139442979</c:v>
                </c:pt>
                <c:pt idx="17">
                  <c:v>0.79058421288459202</c:v>
                </c:pt>
                <c:pt idx="18">
                  <c:v>0.72836016907603385</c:v>
                </c:pt>
                <c:pt idx="19">
                  <c:v>0.67202131538832555</c:v>
                </c:pt>
                <c:pt idx="20">
                  <c:v>0.6209451108671612</c:v>
                </c:pt>
                <c:pt idx="21">
                  <c:v>0.57455982280903894</c:v>
                </c:pt>
                <c:pt idx="22">
                  <c:v>0.53234748683357214</c:v>
                </c:pt>
                <c:pt idx="23">
                  <c:v>0.49384320081478444</c:v>
                </c:pt>
                <c:pt idx="24">
                  <c:v>0.45863229912599268</c:v>
                </c:pt>
                <c:pt idx="25">
                  <c:v>0.42634643140926221</c:v>
                </c:pt>
                <c:pt idx="26">
                  <c:v>0.39665919959255652</c:v>
                </c:pt>
                <c:pt idx="27">
                  <c:v>0.36928175318345818</c:v>
                </c:pt>
                <c:pt idx="28">
                  <c:v>0.34395857414007897</c:v>
                </c:pt>
                <c:pt idx="29">
                  <c:v>0.32046357339343728</c:v>
                </c:pt>
                <c:pt idx="30">
                  <c:v>0.2985965523832263</c:v>
                </c:pt>
                <c:pt idx="31">
                  <c:v>0.27818004122234252</c:v>
                </c:pt>
                <c:pt idx="32">
                  <c:v>0.2590565009452605</c:v>
                </c:pt>
                <c:pt idx="33">
                  <c:v>0.24108586437073831</c:v>
                </c:pt>
                <c:pt idx="34">
                  <c:v>0.22414338419634972</c:v>
                </c:pt>
                <c:pt idx="35">
                  <c:v>0.20811775527484672</c:v>
                </c:pt>
                <c:pt idx="36">
                  <c:v>0.19924095648906698</c:v>
                </c:pt>
                <c:pt idx="37">
                  <c:v>0.19116796950138207</c:v>
                </c:pt>
                <c:pt idx="38">
                  <c:v>0.18389400250314014</c:v>
                </c:pt>
                <c:pt idx="39">
                  <c:v>0.17741193601054009</c:v>
                </c:pt>
                <c:pt idx="40">
                  <c:v>0.1717124188538055</c:v>
                </c:pt>
                <c:pt idx="41">
                  <c:v>0.16678396924022382</c:v>
                </c:pt>
                <c:pt idx="42">
                  <c:v>0.16261308071264707</c:v>
                </c:pt>
                <c:pt idx="43">
                  <c:v>0.15918433285124206</c:v>
                </c:pt>
                <c:pt idx="44">
                  <c:v>0.15648050656098836</c:v>
                </c:pt>
                <c:pt idx="45">
                  <c:v>0.1544827037541649</c:v>
                </c:pt>
                <c:pt idx="46">
                  <c:v>0.15317047118031785</c:v>
                </c:pt>
                <c:pt idx="47">
                  <c:v>0.15252192808113535</c:v>
                </c:pt>
                <c:pt idx="48">
                  <c:v>0.15251389725987835</c:v>
                </c:pt>
                <c:pt idx="49">
                  <c:v>0.1531220390603272</c:v>
                </c:pt>
                <c:pt idx="50">
                  <c:v>0.15250823304888919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58-2A4A-8D2D-0E53BFCC3E75}"/>
            </c:ext>
          </c:extLst>
        </c:ser>
        <c:ser>
          <c:idx val="2"/>
          <c:order val="2"/>
          <c:tx>
            <c:strRef>
              <c:f>IBD!$AX$3</c:f>
              <c:strCache>
                <c:ptCount val="1"/>
                <c:pt idx="0">
                  <c:v>Cash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IBD!$AX$4:$AX$54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2.5298363211512749E-2</c:v>
                </c:pt>
                <c:pt idx="17">
                  <c:v>5.4135014681536663E-2</c:v>
                </c:pt>
                <c:pt idx="18">
                  <c:v>8.013010503172352E-2</c:v>
                </c:pt>
                <c:pt idx="19">
                  <c:v>0.10361441044925372</c:v>
                </c:pt>
                <c:pt idx="20">
                  <c:v>0.1248902143791958</c:v>
                </c:pt>
                <c:pt idx="21">
                  <c:v>0.14422973234098815</c:v>
                </c:pt>
                <c:pt idx="22">
                  <c:v>0.16187565695383385</c:v>
                </c:pt>
                <c:pt idx="23">
                  <c:v>0.1780429075977521</c:v>
                </c:pt>
                <c:pt idx="24">
                  <c:v>0.19292098061039559</c:v>
                </c:pt>
                <c:pt idx="25">
                  <c:v>0.20667651856449298</c:v>
                </c:pt>
                <c:pt idx="26">
                  <c:v>0.21945586948072093</c:v>
                </c:pt>
                <c:pt idx="27">
                  <c:v>0.23138750738542663</c:v>
                </c:pt>
                <c:pt idx="28">
                  <c:v>0.24258424987574193</c:v>
                </c:pt>
                <c:pt idx="29">
                  <c:v>0.25314524801428401</c:v>
                </c:pt>
                <c:pt idx="30">
                  <c:v>0.26315774733009212</c:v>
                </c:pt>
                <c:pt idx="31">
                  <c:v>0.27269863174096903</c:v>
                </c:pt>
                <c:pt idx="32">
                  <c:v>0.28183576872324495</c:v>
                </c:pt>
                <c:pt idx="33">
                  <c:v>0.29062917659340759</c:v>
                </c:pt>
                <c:pt idx="34">
                  <c:v>0.2991320349796035</c:v>
                </c:pt>
                <c:pt idx="35">
                  <c:v>0.30739155849190608</c:v>
                </c:pt>
                <c:pt idx="36">
                  <c:v>0.30611053721573211</c:v>
                </c:pt>
                <c:pt idx="37">
                  <c:v>0.30416819708760556</c:v>
                </c:pt>
                <c:pt idx="38">
                  <c:v>0.30158152274298994</c:v>
                </c:pt>
                <c:pt idx="39">
                  <c:v>0.29836915744835346</c:v>
                </c:pt>
                <c:pt idx="40">
                  <c:v>0.29455129834180765</c:v>
                </c:pt>
                <c:pt idx="41">
                  <c:v>0.29014958742867319</c:v>
                </c:pt>
                <c:pt idx="42">
                  <c:v>0.28518699843000672</c:v>
                </c:pt>
                <c:pt idx="43">
                  <c:v>0.27968771964179334</c:v>
                </c:pt>
                <c:pt idx="44">
                  <c:v>0.27367703304250646</c:v>
                </c:pt>
                <c:pt idx="45">
                  <c:v>0.26718118998179202</c:v>
                </c:pt>
                <c:pt idx="46">
                  <c:v>0.26022728388749466</c:v>
                </c:pt>
                <c:pt idx="47">
                  <c:v>0.25284312053631369</c:v>
                </c:pt>
                <c:pt idx="48">
                  <c:v>0.24505708653938948</c:v>
                </c:pt>
                <c:pt idx="49">
                  <c:v>0.23689801679269043</c:v>
                </c:pt>
                <c:pt idx="50">
                  <c:v>0.23745883475555404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58-2A4A-8D2D-0E53BFCC3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Total Wealth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IBD!$AI$3</c:f>
              <c:strCache>
                <c:ptCount val="1"/>
                <c:pt idx="0">
                  <c:v>Target Stock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IBD!$AI$4:$AI$54</c:f>
              <c:numCache>
                <c:formatCode>General</c:formatCode>
                <c:ptCount val="51"/>
                <c:pt idx="0">
                  <c:v>1299.4520472945119</c:v>
                </c:pt>
                <c:pt idx="1">
                  <c:v>1422.4510946357757</c:v>
                </c:pt>
                <c:pt idx="2">
                  <c:v>1545.5159177219973</c:v>
                </c:pt>
                <c:pt idx="3">
                  <c:v>1668.5829986704427</c:v>
                </c:pt>
                <c:pt idx="4">
                  <c:v>1791.5855099786559</c:v>
                </c:pt>
                <c:pt idx="5">
                  <c:v>1914.4531789860639</c:v>
                </c:pt>
                <c:pt idx="6">
                  <c:v>2037.1121471844542</c:v>
                </c:pt>
                <c:pt idx="7">
                  <c:v>2159.4848241872869</c:v>
                </c:pt>
                <c:pt idx="8">
                  <c:v>2281.4897361607609</c:v>
                </c:pt>
                <c:pt idx="9">
                  <c:v>2403.041368512484</c:v>
                </c:pt>
                <c:pt idx="10">
                  <c:v>2524.0500026260725</c:v>
                </c:pt>
                <c:pt idx="11">
                  <c:v>2644.4215464223403</c:v>
                </c:pt>
                <c:pt idx="12">
                  <c:v>2764.0573585197626</c:v>
                </c:pt>
                <c:pt idx="13">
                  <c:v>2882.8540657585982</c:v>
                </c:pt>
                <c:pt idx="14">
                  <c:v>3000.7033738444989</c:v>
                </c:pt>
                <c:pt idx="15">
                  <c:v>3120.8651647413599</c:v>
                </c:pt>
                <c:pt idx="16">
                  <c:v>3247.7943654657684</c:v>
                </c:pt>
                <c:pt idx="17">
                  <c:v>3382.7830623229129</c:v>
                </c:pt>
                <c:pt idx="18">
                  <c:v>3526.0101200429826</c:v>
                </c:pt>
                <c:pt idx="19">
                  <c:v>3677.3567590618081</c:v>
                </c:pt>
                <c:pt idx="20">
                  <c:v>3836.7456051102536</c:v>
                </c:pt>
                <c:pt idx="21">
                  <c:v>4004.1379427428851</c:v>
                </c:pt>
                <c:pt idx="22">
                  <c:v>4179.530661004288</c:v>
                </c:pt>
                <c:pt idx="23">
                  <c:v>4362.9531750473943</c:v>
                </c:pt>
                <c:pt idx="24">
                  <c:v>4554.4644886379747</c:v>
                </c:pt>
                <c:pt idx="25">
                  <c:v>4754.1504834313573</c:v>
                </c:pt>
                <c:pt idx="26">
                  <c:v>4962.1214704852255</c:v>
                </c:pt>
                <c:pt idx="27">
                  <c:v>5178.5100087216642</c:v>
                </c:pt>
                <c:pt idx="28">
                  <c:v>5403.4689773457649</c:v>
                </c:pt>
                <c:pt idx="29">
                  <c:v>5637.1698799013229</c:v>
                </c:pt>
                <c:pt idx="30">
                  <c:v>5879.8013535242671</c:v>
                </c:pt>
                <c:pt idx="31">
                  <c:v>6131.5678559449816</c:v>
                </c:pt>
                <c:pt idx="32">
                  <c:v>6392.6885035377727</c:v>
                </c:pt>
                <c:pt idx="33">
                  <c:v>6663.3960353674947</c:v>
                </c:pt>
                <c:pt idx="34">
                  <c:v>6943.9358802161796</c:v>
                </c:pt>
                <c:pt idx="35">
                  <c:v>7234.5653056771116</c:v>
                </c:pt>
                <c:pt idx="36">
                  <c:v>7535.5526304048735</c:v>
                </c:pt>
                <c:pt idx="37">
                  <c:v>7847.740937043648</c:v>
                </c:pt>
                <c:pt idx="38">
                  <c:v>8171.5297666379993</c:v>
                </c:pt>
                <c:pt idx="39">
                  <c:v>8507.3393858158252</c:v>
                </c:pt>
                <c:pt idx="40">
                  <c:v>8855.6114187233288</c:v>
                </c:pt>
                <c:pt idx="41">
                  <c:v>9216.8094725171431</c:v>
                </c:pt>
                <c:pt idx="42">
                  <c:v>9591.4197587280159</c:v>
                </c:pt>
                <c:pt idx="43">
                  <c:v>9979.9517130285931</c:v>
                </c:pt>
                <c:pt idx="44">
                  <c:v>10382.938616145086</c:v>
                </c:pt>
                <c:pt idx="45">
                  <c:v>10800.938218848174</c:v>
                </c:pt>
                <c:pt idx="46">
                  <c:v>11234.533374140705</c:v>
                </c:pt>
                <c:pt idx="47">
                  <c:v>11684.332679927302</c:v>
                </c:pt>
                <c:pt idx="48">
                  <c:v>12150.971135601829</c:v>
                </c:pt>
                <c:pt idx="49">
                  <c:v>12635.110816121254</c:v>
                </c:pt>
                <c:pt idx="50">
                  <c:v>12983.12064132094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E-DD4C-B8C2-C50E4B5C85C0}"/>
            </c:ext>
          </c:extLst>
        </c:ser>
        <c:ser>
          <c:idx val="1"/>
          <c:order val="1"/>
          <c:tx>
            <c:strRef>
              <c:f>IBD!$AJ$3</c:f>
              <c:strCache>
                <c:ptCount val="1"/>
                <c:pt idx="0">
                  <c:v>Target Bond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IBD!$AJ$4:$AJ$54</c:f>
              <c:numCache>
                <c:formatCode>General</c:formatCode>
                <c:ptCount val="51"/>
                <c:pt idx="0">
                  <c:v>324.86301182362797</c:v>
                </c:pt>
                <c:pt idx="1">
                  <c:v>355.61277365894392</c:v>
                </c:pt>
                <c:pt idx="2">
                  <c:v>386.37897943049933</c:v>
                </c:pt>
                <c:pt idx="3">
                  <c:v>417.14574966761069</c:v>
                </c:pt>
                <c:pt idx="4">
                  <c:v>447.89637749466397</c:v>
                </c:pt>
                <c:pt idx="5">
                  <c:v>478.61329474651598</c:v>
                </c:pt>
                <c:pt idx="6">
                  <c:v>509.27803679611355</c:v>
                </c:pt>
                <c:pt idx="7">
                  <c:v>539.87120604682173</c:v>
                </c:pt>
                <c:pt idx="8">
                  <c:v>570.37243404019023</c:v>
                </c:pt>
                <c:pt idx="9">
                  <c:v>600.76034212812101</c:v>
                </c:pt>
                <c:pt idx="10">
                  <c:v>631.01250065651811</c:v>
                </c:pt>
                <c:pt idx="11">
                  <c:v>661.10538660558507</c:v>
                </c:pt>
                <c:pt idx="12">
                  <c:v>691.01433962994065</c:v>
                </c:pt>
                <c:pt idx="13">
                  <c:v>720.71351643964954</c:v>
                </c:pt>
                <c:pt idx="14">
                  <c:v>750.17584346112471</c:v>
                </c:pt>
                <c:pt idx="15">
                  <c:v>780.21629118533997</c:v>
                </c:pt>
                <c:pt idx="16">
                  <c:v>811.94859136644209</c:v>
                </c:pt>
                <c:pt idx="17">
                  <c:v>845.69576558072822</c:v>
                </c:pt>
                <c:pt idx="18">
                  <c:v>881.50253001074566</c:v>
                </c:pt>
                <c:pt idx="19">
                  <c:v>919.33918976545203</c:v>
                </c:pt>
                <c:pt idx="20">
                  <c:v>959.18640127756339</c:v>
                </c:pt>
                <c:pt idx="21">
                  <c:v>1001.0344856857213</c:v>
                </c:pt>
                <c:pt idx="22">
                  <c:v>1044.882665251072</c:v>
                </c:pt>
                <c:pt idx="23">
                  <c:v>1090.7382937618486</c:v>
                </c:pt>
                <c:pt idx="24">
                  <c:v>1138.6161221594937</c:v>
                </c:pt>
                <c:pt idx="25">
                  <c:v>1188.5376208578393</c:v>
                </c:pt>
                <c:pt idx="26">
                  <c:v>1240.5303676213064</c:v>
                </c:pt>
                <c:pt idx="27">
                  <c:v>1294.6275021804161</c:v>
                </c:pt>
                <c:pt idx="28">
                  <c:v>1350.8672443364412</c:v>
                </c:pt>
                <c:pt idx="29">
                  <c:v>1409.2924699753307</c:v>
                </c:pt>
                <c:pt idx="30">
                  <c:v>1469.9503383810668</c:v>
                </c:pt>
                <c:pt idx="31">
                  <c:v>1532.8919639862454</c:v>
                </c:pt>
                <c:pt idx="32">
                  <c:v>1598.1721258844432</c:v>
                </c:pt>
                <c:pt idx="33">
                  <c:v>1665.8490088418737</c:v>
                </c:pt>
                <c:pt idx="34">
                  <c:v>1735.9839700540449</c:v>
                </c:pt>
                <c:pt idx="35">
                  <c:v>1808.6413264192779</c:v>
                </c:pt>
                <c:pt idx="36">
                  <c:v>1883.8881576012184</c:v>
                </c:pt>
                <c:pt idx="37">
                  <c:v>1961.935234260912</c:v>
                </c:pt>
                <c:pt idx="38">
                  <c:v>2042.8824416594998</c:v>
                </c:pt>
                <c:pt idx="39">
                  <c:v>2126.8348464539563</c:v>
                </c:pt>
                <c:pt idx="40">
                  <c:v>2213.9028546808322</c:v>
                </c:pt>
                <c:pt idx="41">
                  <c:v>2304.2023681292858</c:v>
                </c:pt>
                <c:pt idx="42">
                  <c:v>2397.854939682004</c:v>
                </c:pt>
                <c:pt idx="43">
                  <c:v>2494.9879282571483</c:v>
                </c:pt>
                <c:pt idx="44">
                  <c:v>2595.7346540362714</c:v>
                </c:pt>
                <c:pt idx="45">
                  <c:v>2700.2345547120435</c:v>
                </c:pt>
                <c:pt idx="46">
                  <c:v>2808.6333435351762</c:v>
                </c:pt>
                <c:pt idx="47">
                  <c:v>2921.0831699818254</c:v>
                </c:pt>
                <c:pt idx="48">
                  <c:v>3037.7427839004572</c:v>
                </c:pt>
                <c:pt idx="49">
                  <c:v>3158.7777040303135</c:v>
                </c:pt>
                <c:pt idx="50">
                  <c:v>3245.780160330235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E-DD4C-B8C2-C50E4B5C85C0}"/>
            </c:ext>
          </c:extLst>
        </c:ser>
        <c:ser>
          <c:idx val="2"/>
          <c:order val="2"/>
          <c:tx>
            <c:strRef>
              <c:f>IBD!$AK$3</c:f>
              <c:strCache>
                <c:ptCount val="1"/>
                <c:pt idx="0">
                  <c:v>Target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IBD!$AK$4:$AK$54</c:f>
              <c:numCache>
                <c:formatCode>0</c:formatCode>
                <c:ptCount val="51"/>
                <c:pt idx="0">
                  <c:v>480.79725749896932</c:v>
                </c:pt>
                <c:pt idx="1">
                  <c:v>526.30690501523668</c:v>
                </c:pt>
                <c:pt idx="2">
                  <c:v>571.84088955713855</c:v>
                </c:pt>
                <c:pt idx="3">
                  <c:v>617.37570950806344</c:v>
                </c:pt>
                <c:pt idx="4">
                  <c:v>662.88663869210245</c:v>
                </c:pt>
                <c:pt idx="5">
                  <c:v>708.3476762248431</c:v>
                </c:pt>
                <c:pt idx="6">
                  <c:v>753.73149445824743</c:v>
                </c:pt>
                <c:pt idx="7">
                  <c:v>799.00938494929574</c:v>
                </c:pt>
                <c:pt idx="8">
                  <c:v>844.15120237948099</c:v>
                </c:pt>
                <c:pt idx="9">
                  <c:v>889.12530634961877</c:v>
                </c:pt>
                <c:pt idx="10">
                  <c:v>933.89850097164617</c:v>
                </c:pt>
                <c:pt idx="11">
                  <c:v>978.43597217626564</c:v>
                </c:pt>
                <c:pt idx="12">
                  <c:v>1022.7012226523113</c:v>
                </c:pt>
                <c:pt idx="13">
                  <c:v>1066.6560043306808</c:v>
                </c:pt>
                <c:pt idx="14">
                  <c:v>1110.2602483224637</c:v>
                </c:pt>
                <c:pt idx="15">
                  <c:v>1154.7201109543023</c:v>
                </c:pt>
                <c:pt idx="16">
                  <c:v>1201.6839152223338</c:v>
                </c:pt>
                <c:pt idx="17">
                  <c:v>1251.6297330594771</c:v>
                </c:pt>
                <c:pt idx="18">
                  <c:v>1304.623744415903</c:v>
                </c:pt>
                <c:pt idx="19">
                  <c:v>1360.6220008528685</c:v>
                </c:pt>
                <c:pt idx="20">
                  <c:v>1419.5958738907927</c:v>
                </c:pt>
                <c:pt idx="21">
                  <c:v>1481.5310388148664</c:v>
                </c:pt>
                <c:pt idx="22">
                  <c:v>1546.4263445715856</c:v>
                </c:pt>
                <c:pt idx="23">
                  <c:v>1614.2926747675347</c:v>
                </c:pt>
                <c:pt idx="24">
                  <c:v>1685.151860796049</c:v>
                </c:pt>
                <c:pt idx="25">
                  <c:v>1759.0356788696006</c:v>
                </c:pt>
                <c:pt idx="26">
                  <c:v>1835.9849440795322</c:v>
                </c:pt>
                <c:pt idx="27">
                  <c:v>1916.0487032270146</c:v>
                </c:pt>
                <c:pt idx="28">
                  <c:v>1999.2835216179319</c:v>
                </c:pt>
                <c:pt idx="29">
                  <c:v>2085.7528555634876</c:v>
                </c:pt>
                <c:pt idx="30">
                  <c:v>2175.5265008039769</c:v>
                </c:pt>
                <c:pt idx="31">
                  <c:v>2268.6801066996422</c:v>
                </c:pt>
                <c:pt idx="32">
                  <c:v>2365.2947463089745</c:v>
                </c:pt>
                <c:pt idx="33">
                  <c:v>2465.4565330859714</c:v>
                </c:pt>
                <c:pt idx="34">
                  <c:v>2569.2562756799844</c:v>
                </c:pt>
                <c:pt idx="35">
                  <c:v>2676.7891631005295</c:v>
                </c:pt>
                <c:pt idx="36">
                  <c:v>2788.1544732498023</c:v>
                </c:pt>
                <c:pt idx="37">
                  <c:v>2903.664146706149</c:v>
                </c:pt>
                <c:pt idx="38">
                  <c:v>3023.4660136560578</c:v>
                </c:pt>
                <c:pt idx="39">
                  <c:v>3147.7155727518543</c:v>
                </c:pt>
                <c:pt idx="40">
                  <c:v>3276.5762249276295</c:v>
                </c:pt>
                <c:pt idx="41">
                  <c:v>3410.2195048313397</c:v>
                </c:pt>
                <c:pt idx="42">
                  <c:v>3548.8253107293654</c:v>
                </c:pt>
                <c:pt idx="43">
                  <c:v>3692.5821338205778</c:v>
                </c:pt>
                <c:pt idx="44">
                  <c:v>3841.6872879736793</c:v>
                </c:pt>
                <c:pt idx="45">
                  <c:v>3996.3471409738236</c:v>
                </c:pt>
                <c:pt idx="46">
                  <c:v>4156.7773484320578</c:v>
                </c:pt>
                <c:pt idx="47">
                  <c:v>4323.2030915730984</c:v>
                </c:pt>
                <c:pt idx="48">
                  <c:v>4495.8593201726726</c:v>
                </c:pt>
                <c:pt idx="49">
                  <c:v>4674.9910019648614</c:v>
                </c:pt>
                <c:pt idx="50">
                  <c:v>4803.7546372887455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9E-DD4C-B8C2-C50E4B5C8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IBD!$AM$4:$AM$54</c:f>
              <c:numCache>
                <c:formatCode>General</c:formatCode>
                <c:ptCount val="51"/>
                <c:pt idx="0">
                  <c:v>-2644.9532117180597</c:v>
                </c:pt>
                <c:pt idx="1">
                  <c:v>-2463.9527537012491</c:v>
                </c:pt>
                <c:pt idx="2">
                  <c:v>-2280.798469155161</c:v>
                </c:pt>
                <c:pt idx="3">
                  <c:v>-2095.4787061342922</c:v>
                </c:pt>
                <c:pt idx="4">
                  <c:v>-1907.98241619905</c:v>
                </c:pt>
                <c:pt idx="5">
                  <c:v>-1718.2991925340402</c:v>
                </c:pt>
                <c:pt idx="6">
                  <c:v>-1526.4193097103723</c:v>
                </c:pt>
                <c:pt idx="7">
                  <c:v>-1332.3337651557536</c:v>
                </c:pt>
                <c:pt idx="8">
                  <c:v>-1136.0343223986283</c:v>
                </c:pt>
                <c:pt idx="9">
                  <c:v>-937.51355615504372</c:v>
                </c:pt>
                <c:pt idx="10">
                  <c:v>-736.76489932948607</c:v>
                </c:pt>
                <c:pt idx="11">
                  <c:v>-533.7826920036191</c:v>
                </c:pt>
                <c:pt idx="12">
                  <c:v>-328.5622324895312</c:v>
                </c:pt>
                <c:pt idx="13">
                  <c:v>-121.09983052703092</c:v>
                </c:pt>
                <c:pt idx="14">
                  <c:v>88.60713729258714</c:v>
                </c:pt>
                <c:pt idx="15">
                  <c:v>303.93346367357935</c:v>
                </c:pt>
                <c:pt idx="16">
                  <c:v>529.45312315954789</c:v>
                </c:pt>
                <c:pt idx="17">
                  <c:v>766.58153529366791</c:v>
                </c:pt>
                <c:pt idx="18">
                  <c:v>1015.6253380406852</c:v>
                </c:pt>
                <c:pt idx="19">
                  <c:v>1276.5981249074275</c:v>
                </c:pt>
                <c:pt idx="20">
                  <c:v>1549.5596601263151</c:v>
                </c:pt>
                <c:pt idx="21">
                  <c:v>1834.6133037395248</c:v>
                </c:pt>
                <c:pt idx="22">
                  <c:v>2131.9031349968077</c:v>
                </c:pt>
                <c:pt idx="23">
                  <c:v>2441.6110581036442</c:v>
                </c:pt>
                <c:pt idx="24">
                  <c:v>2763.9540554842497</c:v>
                </c:pt>
                <c:pt idx="25">
                  <c:v>3099.1816746840977</c:v>
                </c:pt>
                <c:pt idx="26">
                  <c:v>3447.573784623065</c:v>
                </c:pt>
                <c:pt idx="27">
                  <c:v>3809.4386061684654</c:v>
                </c:pt>
                <c:pt idx="28">
                  <c:v>4185.1110043006511</c:v>
                </c:pt>
                <c:pt idx="29">
                  <c:v>4574.9510198265853</c:v>
                </c:pt>
                <c:pt idx="30">
                  <c:v>4979.342614486839</c:v>
                </c:pt>
                <c:pt idx="31">
                  <c:v>5398.6926023022061</c:v>
                </c:pt>
                <c:pt idx="32">
                  <c:v>5833.4297407638569</c:v>
                </c:pt>
                <c:pt idx="33">
                  <c:v>6284.0039571337174</c:v>
                </c:pt>
                <c:pt idx="34">
                  <c:v>6750.8856871659864</c:v>
                </c:pt>
                <c:pt idx="35">
                  <c:v>7234.5653056771116</c:v>
                </c:pt>
                <c:pt idx="36">
                  <c:v>7535.5526304048735</c:v>
                </c:pt>
                <c:pt idx="37">
                  <c:v>7847.740937043648</c:v>
                </c:pt>
                <c:pt idx="38">
                  <c:v>8171.5297666379993</c:v>
                </c:pt>
                <c:pt idx="39">
                  <c:v>8507.3393858158252</c:v>
                </c:pt>
                <c:pt idx="40">
                  <c:v>8855.6114187233288</c:v>
                </c:pt>
                <c:pt idx="41">
                  <c:v>9216.8094725171431</c:v>
                </c:pt>
                <c:pt idx="42">
                  <c:v>9591.4197587280159</c:v>
                </c:pt>
                <c:pt idx="43">
                  <c:v>9979.9517130285931</c:v>
                </c:pt>
                <c:pt idx="44">
                  <c:v>10382.938616145086</c:v>
                </c:pt>
                <c:pt idx="45">
                  <c:v>10800.938218848174</c:v>
                </c:pt>
                <c:pt idx="46">
                  <c:v>11234.533374140705</c:v>
                </c:pt>
                <c:pt idx="47">
                  <c:v>11684.332679927302</c:v>
                </c:pt>
                <c:pt idx="48">
                  <c:v>12150.971135601829</c:v>
                </c:pt>
                <c:pt idx="49">
                  <c:v>12635.110816121254</c:v>
                </c:pt>
                <c:pt idx="50">
                  <c:v>12983.12064132094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E-B645-BA6C-E2DD31134B06}"/>
            </c:ext>
          </c:extLst>
        </c:ser>
        <c:ser>
          <c:idx val="1"/>
          <c:order val="1"/>
          <c:tx>
            <c:strRef>
              <c:f>IBD!$AN$3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IBD!$AN$4:$AN$54</c:f>
              <c:numCache>
                <c:formatCode>0</c:formatCode>
                <c:ptCount val="51"/>
                <c:pt idx="0">
                  <c:v>4710.9042585724137</c:v>
                </c:pt>
                <c:pt idx="1">
                  <c:v>4656.9150364077204</c:v>
                </c:pt>
                <c:pt idx="2">
                  <c:v>4604.0734781016954</c:v>
                </c:pt>
                <c:pt idx="3">
                  <c:v>4552.3313088371997</c:v>
                </c:pt>
                <c:pt idx="4">
                  <c:v>4501.632439853779</c:v>
                </c:pt>
                <c:pt idx="5">
                  <c:v>4451.9124354621008</c:v>
                </c:pt>
                <c:pt idx="6">
                  <c:v>4403.0979516429697</c:v>
                </c:pt>
                <c:pt idx="7">
                  <c:v>4355.106144882333</c:v>
                </c:pt>
                <c:pt idx="8">
                  <c:v>4307.8440498337932</c:v>
                </c:pt>
                <c:pt idx="9">
                  <c:v>4261.2079243376638</c:v>
                </c:pt>
                <c:pt idx="10">
                  <c:v>4215.0825602605046</c:v>
                </c:pt>
                <c:pt idx="11">
                  <c:v>4169.3405585509709</c:v>
                </c:pt>
                <c:pt idx="12">
                  <c:v>4123.8415668372336</c:v>
                </c:pt>
                <c:pt idx="13">
                  <c:v>4078.4314778171915</c:v>
                </c:pt>
                <c:pt idx="14">
                  <c:v>4032.9415866159025</c:v>
                </c:pt>
                <c:pt idx="15">
                  <c:v>3988.0310286749736</c:v>
                </c:pt>
                <c:pt idx="16">
                  <c:v>3944.6426174132084</c:v>
                </c:pt>
                <c:pt idx="17">
                  <c:v>3902.9124481596764</c:v>
                </c:pt>
                <c:pt idx="18">
                  <c:v>3862.6813311270143</c:v>
                </c:pt>
                <c:pt idx="19">
                  <c:v>3823.697664546678</c:v>
                </c:pt>
                <c:pt idx="20">
                  <c:v>3785.7011242221188</c:v>
                </c:pt>
                <c:pt idx="21">
                  <c:v>3748.4208500223071</c:v>
                </c:pt>
                <c:pt idx="22">
                  <c:v>3711.573498875619</c:v>
                </c:pt>
                <c:pt idx="23">
                  <c:v>3674.8612326194684</c:v>
                </c:pt>
                <c:pt idx="24">
                  <c:v>3637.9696792276927</c:v>
                </c:pt>
                <c:pt idx="25">
                  <c:v>3600.5658860575886</c:v>
                </c:pt>
                <c:pt idx="26">
                  <c:v>3562.2962710299817</c:v>
                </c:pt>
                <c:pt idx="27">
                  <c:v>3522.7845698397741</c:v>
                </c:pt>
                <c:pt idx="28">
                  <c:v>3481.629772734404</c:v>
                </c:pt>
                <c:pt idx="29">
                  <c:v>3438.404041926693</c:v>
                </c:pt>
                <c:pt idx="30">
                  <c:v>3392.6505995336411</c:v>
                </c:pt>
                <c:pt idx="31">
                  <c:v>3343.8815755291466</c:v>
                </c:pt>
                <c:pt idx="32">
                  <c:v>3291.5758052280307</c:v>
                </c:pt>
                <c:pt idx="33">
                  <c:v>3235.1765660676019</c:v>
                </c:pt>
                <c:pt idx="34">
                  <c:v>3174.0892437903794</c:v>
                </c:pt>
                <c:pt idx="35">
                  <c:v>3107.6789184796598</c:v>
                </c:pt>
                <c:pt idx="36">
                  <c:v>3035.26786121448</c:v>
                </c:pt>
                <c:pt idx="37">
                  <c:v>2972.7446287708767</c:v>
                </c:pt>
                <c:pt idx="38">
                  <c:v>2920.5516726477358</c:v>
                </c:pt>
                <c:pt idx="39">
                  <c:v>2879.1474933534337</c:v>
                </c:pt>
                <c:pt idx="40">
                  <c:v>2849.0070960674529</c:v>
                </c:pt>
                <c:pt idx="41">
                  <c:v>2830.6224522513448</c:v>
                </c:pt>
                <c:pt idx="42">
                  <c:v>2824.5029679709842</c:v>
                </c:pt>
                <c:pt idx="43">
                  <c:v>2831.1759597508708</c:v>
                </c:pt>
                <c:pt idx="44">
                  <c:v>2851.1871388374952</c:v>
                </c:pt>
                <c:pt idx="45">
                  <c:v>2885.1011048021423</c:v>
                </c:pt>
                <c:pt idx="46">
                  <c:v>2933.5018494637129</c:v>
                </c:pt>
                <c:pt idx="47">
                  <c:v>2996.9932721587174</c:v>
                </c:pt>
                <c:pt idx="48">
                  <c:v>3076.1997074281571</c:v>
                </c:pt>
                <c:pt idx="49">
                  <c:v>3171.7664662290731</c:v>
                </c:pt>
                <c:pt idx="50">
                  <c:v>3245.780160330235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E-B645-BA6C-E2DD31134B06}"/>
            </c:ext>
          </c:extLst>
        </c:ser>
        <c:ser>
          <c:idx val="2"/>
          <c:order val="2"/>
          <c:tx>
            <c:strRef>
              <c:f>IBD!$AO$3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IBD!$AO$4:$AO$54</c:f>
              <c:numCache>
                <c:formatCode>0</c:formatCode>
                <c:ptCount val="51"/>
                <c:pt idx="0">
                  <c:v>-1965.9510468543535</c:v>
                </c:pt>
                <c:pt idx="1">
                  <c:v>-1841.5822827064712</c:v>
                </c:pt>
                <c:pt idx="2">
                  <c:v>-1717.0459649465354</c:v>
                </c:pt>
                <c:pt idx="3">
                  <c:v>-1592.2575978957072</c:v>
                </c:pt>
                <c:pt idx="4">
                  <c:v>-1467.1236077811884</c:v>
                </c:pt>
                <c:pt idx="5">
                  <c:v>-1341.5407625154664</c:v>
                </c:pt>
                <c:pt idx="6">
                  <c:v>-1215.3955612903083</c:v>
                </c:pt>
                <c:pt idx="7">
                  <c:v>-1088.5635925714287</c:v>
                </c:pt>
                <c:pt idx="8">
                  <c:v>-960.90885901727211</c:v>
                </c:pt>
                <c:pt idx="9">
                  <c:v>-832.28306778056026</c:v>
                </c:pt>
                <c:pt idx="10">
                  <c:v>-702.52488458341008</c:v>
                </c:pt>
                <c:pt idx="11">
                  <c:v>-571.45914988614584</c:v>
                </c:pt>
                <c:pt idx="12">
                  <c:v>-438.89605539657123</c:v>
                </c:pt>
                <c:pt idx="13">
                  <c:v>-304.63027908950471</c:v>
                </c:pt>
                <c:pt idx="14">
                  <c:v>-168.44007682666415</c:v>
                </c:pt>
                <c:pt idx="15">
                  <c:v>-28.838209846815289</c:v>
                </c:pt>
                <c:pt idx="16">
                  <c:v>116.12507337222564</c:v>
                </c:pt>
                <c:pt idx="17">
                  <c:v>267.25074854577088</c:v>
                </c:pt>
                <c:pt idx="18">
                  <c:v>424.95055867748056</c:v>
                </c:pt>
                <c:pt idx="19">
                  <c:v>589.55001898898877</c:v>
                </c:pt>
                <c:pt idx="20">
                  <c:v>761.41516650222593</c:v>
                </c:pt>
                <c:pt idx="21">
                  <c:v>940.95290766577364</c:v>
                </c:pt>
                <c:pt idx="22">
                  <c:v>1128.6113174622028</c:v>
                </c:pt>
                <c:pt idx="23">
                  <c:v>1324.8799979312016</c:v>
                </c:pt>
                <c:pt idx="24">
                  <c:v>1530.290560182912</c:v>
                </c:pt>
                <c:pt idx="25">
                  <c:v>1745.417264858324</c:v>
                </c:pt>
                <c:pt idx="26">
                  <c:v>1970.8778374731667</c:v>
                </c:pt>
                <c:pt idx="27">
                  <c:v>2207.3344638453191</c:v>
                </c:pt>
                <c:pt idx="28">
                  <c:v>2455.4949644019102</c:v>
                </c:pt>
                <c:pt idx="29">
                  <c:v>2716.1141428646224</c:v>
                </c:pt>
                <c:pt idx="30">
                  <c:v>2989.9953034471559</c:v>
                </c:pt>
                <c:pt idx="31">
                  <c:v>3277.9919304915102</c:v>
                </c:pt>
                <c:pt idx="32">
                  <c:v>3581.0095249194255</c:v>
                </c:pt>
                <c:pt idx="33">
                  <c:v>3900.0075926667882</c:v>
                </c:pt>
                <c:pt idx="34">
                  <c:v>4236.0017812087153</c:v>
                </c:pt>
                <c:pt idx="35">
                  <c:v>4590.0661612573094</c:v>
                </c:pt>
                <c:pt idx="36">
                  <c:v>4663.3357516580445</c:v>
                </c:pt>
                <c:pt idx="37">
                  <c:v>4729.947053858119</c:v>
                </c:pt>
                <c:pt idx="38">
                  <c:v>4789.6310303629962</c:v>
                </c:pt>
                <c:pt idx="39">
                  <c:v>4842.1139585014525</c:v>
                </c:pt>
                <c:pt idx="40">
                  <c:v>4887.1173368430682</c:v>
                </c:pt>
                <c:pt idx="41">
                  <c:v>4924.3577810773804</c:v>
                </c:pt>
                <c:pt idx="42">
                  <c:v>4953.5469100158471</c:v>
                </c:pt>
                <c:pt idx="43">
                  <c:v>4974.3912224538262</c:v>
                </c:pt>
                <c:pt idx="44">
                  <c:v>4986.5919657019658</c:v>
                </c:pt>
                <c:pt idx="45">
                  <c:v>4989.8449966638254</c:v>
                </c:pt>
                <c:pt idx="46">
                  <c:v>4983.8406363992235</c:v>
                </c:pt>
                <c:pt idx="47">
                  <c:v>4968.2635191698228</c:v>
                </c:pt>
                <c:pt idx="48">
                  <c:v>4942.7924370140618</c:v>
                </c:pt>
                <c:pt idx="49">
                  <c:v>4907.1001809425725</c:v>
                </c:pt>
                <c:pt idx="50">
                  <c:v>5053.7545372887453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AE-B645-BA6C-E2DD31134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 at Beginning of Life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IBD!$AM$3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IBD!$H$4:$H$14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IBD!$AM$4:$AM$14</c:f>
              <c:numCache>
                <c:formatCode>General</c:formatCode>
                <c:ptCount val="11"/>
                <c:pt idx="0">
                  <c:v>-2644.9532117180597</c:v>
                </c:pt>
                <c:pt idx="1">
                  <c:v>-2463.9527537012491</c:v>
                </c:pt>
                <c:pt idx="2">
                  <c:v>-2280.798469155161</c:v>
                </c:pt>
                <c:pt idx="3">
                  <c:v>-2095.4787061342922</c:v>
                </c:pt>
                <c:pt idx="4">
                  <c:v>-1907.98241619905</c:v>
                </c:pt>
                <c:pt idx="5">
                  <c:v>-1718.2991925340402</c:v>
                </c:pt>
                <c:pt idx="6">
                  <c:v>-1526.4193097103723</c:v>
                </c:pt>
                <c:pt idx="7">
                  <c:v>-1332.3337651557536</c:v>
                </c:pt>
                <c:pt idx="8">
                  <c:v>-1136.0343223986283</c:v>
                </c:pt>
                <c:pt idx="9">
                  <c:v>-937.51355615504372</c:v>
                </c:pt>
                <c:pt idx="10">
                  <c:v>-736.76489932948607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D-394B-B37B-7AD7C999146B}"/>
            </c:ext>
          </c:extLst>
        </c:ser>
        <c:ser>
          <c:idx val="1"/>
          <c:order val="1"/>
          <c:tx>
            <c:strRef>
              <c:f>IBD!$AN$3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IBD!$H$4:$H$14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IBD!$AN$4:$AN$14</c:f>
              <c:numCache>
                <c:formatCode>0</c:formatCode>
                <c:ptCount val="11"/>
                <c:pt idx="0">
                  <c:v>4710.9042585724137</c:v>
                </c:pt>
                <c:pt idx="1">
                  <c:v>4656.9150364077204</c:v>
                </c:pt>
                <c:pt idx="2">
                  <c:v>4604.0734781016954</c:v>
                </c:pt>
                <c:pt idx="3">
                  <c:v>4552.3313088371997</c:v>
                </c:pt>
                <c:pt idx="4">
                  <c:v>4501.632439853779</c:v>
                </c:pt>
                <c:pt idx="5">
                  <c:v>4451.9124354621008</c:v>
                </c:pt>
                <c:pt idx="6">
                  <c:v>4403.0979516429697</c:v>
                </c:pt>
                <c:pt idx="7">
                  <c:v>4355.106144882333</c:v>
                </c:pt>
                <c:pt idx="8">
                  <c:v>4307.8440498337932</c:v>
                </c:pt>
                <c:pt idx="9">
                  <c:v>4261.2079243376638</c:v>
                </c:pt>
                <c:pt idx="10">
                  <c:v>4215.0825602605046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3D-394B-B37B-7AD7C999146B}"/>
            </c:ext>
          </c:extLst>
        </c:ser>
        <c:ser>
          <c:idx val="2"/>
          <c:order val="2"/>
          <c:tx>
            <c:strRef>
              <c:f>IBD!$AO$3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IBD!$H$4:$H$14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IBD!$AO$4:$AO$14</c:f>
              <c:numCache>
                <c:formatCode>0</c:formatCode>
                <c:ptCount val="11"/>
                <c:pt idx="0">
                  <c:v>-1965.9510468543535</c:v>
                </c:pt>
                <c:pt idx="1">
                  <c:v>-1841.5822827064712</c:v>
                </c:pt>
                <c:pt idx="2">
                  <c:v>-1717.0459649465354</c:v>
                </c:pt>
                <c:pt idx="3">
                  <c:v>-1592.2575978957072</c:v>
                </c:pt>
                <c:pt idx="4">
                  <c:v>-1467.1236077811884</c:v>
                </c:pt>
                <c:pt idx="5">
                  <c:v>-1341.5407625154664</c:v>
                </c:pt>
                <c:pt idx="6">
                  <c:v>-1215.3955612903083</c:v>
                </c:pt>
                <c:pt idx="7">
                  <c:v>-1088.5635925714287</c:v>
                </c:pt>
                <c:pt idx="8">
                  <c:v>-960.90885901727211</c:v>
                </c:pt>
                <c:pt idx="9">
                  <c:v>-832.28306778056026</c:v>
                </c:pt>
                <c:pt idx="10">
                  <c:v>-702.52488458341008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3D-394B-B37B-7AD7C9991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Profile of Earnings, Pensions, and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Spending'!$I$3</c:f>
              <c:strCache>
                <c:ptCount val="1"/>
                <c:pt idx="0">
                  <c:v>Wages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Spending'!$I$4:$I$54</c:f>
              <c:numCache>
                <c:formatCode>General</c:formatCode>
                <c:ptCount val="51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4E-3242-B633-68F5B9950918}"/>
            </c:ext>
          </c:extLst>
        </c:ser>
        <c:ser>
          <c:idx val="1"/>
          <c:order val="1"/>
          <c:tx>
            <c:strRef>
              <c:f>'Discretionary Spending'!$J$3</c:f>
              <c:strCache>
                <c:ptCount val="1"/>
                <c:pt idx="0">
                  <c:v>Pension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Spending'!$J$4:$J$54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1E-4</c:v>
                </c:pt>
                <c:pt idx="37">
                  <c:v>1E-4</c:v>
                </c:pt>
                <c:pt idx="38">
                  <c:v>1E-4</c:v>
                </c:pt>
                <c:pt idx="39">
                  <c:v>1E-4</c:v>
                </c:pt>
                <c:pt idx="40">
                  <c:v>1E-4</c:v>
                </c:pt>
                <c:pt idx="41">
                  <c:v>1E-4</c:v>
                </c:pt>
                <c:pt idx="42">
                  <c:v>1E-4</c:v>
                </c:pt>
                <c:pt idx="43">
                  <c:v>1E-4</c:v>
                </c:pt>
                <c:pt idx="44">
                  <c:v>1E-4</c:v>
                </c:pt>
                <c:pt idx="45">
                  <c:v>1E-4</c:v>
                </c:pt>
                <c:pt idx="46">
                  <c:v>1E-4</c:v>
                </c:pt>
                <c:pt idx="47">
                  <c:v>1E-4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4E-3242-B633-68F5B9950918}"/>
            </c:ext>
          </c:extLst>
        </c:ser>
        <c:ser>
          <c:idx val="2"/>
          <c:order val="2"/>
          <c:tx>
            <c:strRef>
              <c:f>'Discretionary Spending'!$K$3</c:f>
              <c:strCache>
                <c:ptCount val="1"/>
                <c:pt idx="0">
                  <c:v>Expenses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Spending'!$K$4:$K$54</c:f>
              <c:numCache>
                <c:formatCode>General</c:formatCode>
                <c:ptCount val="51"/>
                <c:pt idx="0">
                  <c:v>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-100</c:v>
                </c:pt>
                <c:pt idx="27">
                  <c:v>-100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4E-3242-B633-68F5B9950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Looking Present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Spending'!$N$3</c:f>
              <c:strCache>
                <c:ptCount val="1"/>
                <c:pt idx="0">
                  <c:v>PV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Spending'!$N$4:$N$54</c:f>
              <c:numCache>
                <c:formatCode>0</c:formatCode>
                <c:ptCount val="51"/>
                <c:pt idx="0">
                  <c:v>6249.6548330087844</c:v>
                </c:pt>
                <c:pt idx="1">
                  <c:v>6124.6479296689604</c:v>
                </c:pt>
                <c:pt idx="2">
                  <c:v>5997.1408882623391</c:v>
                </c:pt>
                <c:pt idx="3">
                  <c:v>5867.0837060275853</c:v>
                </c:pt>
                <c:pt idx="4">
                  <c:v>5734.4253801481382</c:v>
                </c:pt>
                <c:pt idx="5">
                  <c:v>5599.1138877511012</c:v>
                </c:pt>
                <c:pt idx="6">
                  <c:v>5461.0961655061237</c:v>
                </c:pt>
                <c:pt idx="7">
                  <c:v>5320.3180888162451</c:v>
                </c:pt>
                <c:pt idx="8">
                  <c:v>5176.7244505925692</c:v>
                </c:pt>
                <c:pt idx="9">
                  <c:v>5030.2589396044223</c:v>
                </c:pt>
                <c:pt idx="10">
                  <c:v>4880.864118396511</c:v>
                </c:pt>
                <c:pt idx="11">
                  <c:v>4728.4814007644409</c:v>
                </c:pt>
                <c:pt idx="12">
                  <c:v>4573.0510287797297</c:v>
                </c:pt>
                <c:pt idx="13">
                  <c:v>4414.512049355325</c:v>
                </c:pt>
                <c:pt idx="14">
                  <c:v>4252.8022903424317</c:v>
                </c:pt>
                <c:pt idx="15">
                  <c:v>4087.8583361492797</c:v>
                </c:pt>
                <c:pt idx="16">
                  <c:v>3919.6155028722656</c:v>
                </c:pt>
                <c:pt idx="17">
                  <c:v>3748.0078129297099</c:v>
                </c:pt>
                <c:pt idx="18">
                  <c:v>3572.9679691883043</c:v>
                </c:pt>
                <c:pt idx="19">
                  <c:v>3394.4273285720701</c:v>
                </c:pt>
                <c:pt idx="20">
                  <c:v>3212.3158751435112</c:v>
                </c:pt>
                <c:pt idx="21">
                  <c:v>3026.5621926463809</c:v>
                </c:pt>
                <c:pt idx="22">
                  <c:v>2837.0934364993095</c:v>
                </c:pt>
                <c:pt idx="23">
                  <c:v>2643.8353052292955</c:v>
                </c:pt>
                <c:pt idx="24">
                  <c:v>2446.7120113338815</c:v>
                </c:pt>
                <c:pt idx="25">
                  <c:v>2245.6462515605581</c:v>
                </c:pt>
                <c:pt idx="26">
                  <c:v>2040.55917659177</c:v>
                </c:pt>
                <c:pt idx="27">
                  <c:v>1831.3703601236052</c:v>
                </c:pt>
                <c:pt idx="28">
                  <c:v>1617.997767326078</c:v>
                </c:pt>
                <c:pt idx="29">
                  <c:v>1400.3577226725993</c:v>
                </c:pt>
                <c:pt idx="30">
                  <c:v>1178.3648771260514</c:v>
                </c:pt>
                <c:pt idx="31">
                  <c:v>951.93217466857209</c:v>
                </c:pt>
                <c:pt idx="32">
                  <c:v>720.97081816194384</c:v>
                </c:pt>
                <c:pt idx="33">
                  <c:v>485.39023452518268</c:v>
                </c:pt>
                <c:pt idx="34">
                  <c:v>245.0980392156863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8-2742-A8EE-C690B2A20900}"/>
            </c:ext>
          </c:extLst>
        </c:ser>
        <c:ser>
          <c:idx val="1"/>
          <c:order val="1"/>
          <c:tx>
            <c:strRef>
              <c:f>'Discretionary Spending'!$O$3</c:f>
              <c:strCache>
                <c:ptCount val="1"/>
                <c:pt idx="0">
                  <c:v>PV of Future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Spending'!$O$4:$O$54</c:f>
              <c:numCache>
                <c:formatCode>0</c:formatCode>
                <c:ptCount val="51"/>
                <c:pt idx="0">
                  <c:v>6.4249865616167721E-4</c:v>
                </c:pt>
                <c:pt idx="1">
                  <c:v>6.5534862928491079E-4</c:v>
                </c:pt>
                <c:pt idx="2">
                  <c:v>6.6845560187060889E-4</c:v>
                </c:pt>
                <c:pt idx="3">
                  <c:v>6.8182471390802106E-4</c:v>
                </c:pt>
                <c:pt idx="4">
                  <c:v>6.9546120818618159E-4</c:v>
                </c:pt>
                <c:pt idx="5">
                  <c:v>7.0937043234990519E-4</c:v>
                </c:pt>
                <c:pt idx="6">
                  <c:v>7.2355784099690341E-4</c:v>
                </c:pt>
                <c:pt idx="7">
                  <c:v>7.3802899781684125E-4</c:v>
                </c:pt>
                <c:pt idx="8">
                  <c:v>7.5278957777317817E-4</c:v>
                </c:pt>
                <c:pt idx="9">
                  <c:v>7.6784536932864164E-4</c:v>
                </c:pt>
                <c:pt idx="10">
                  <c:v>7.8320227671521453E-4</c:v>
                </c:pt>
                <c:pt idx="11">
                  <c:v>7.988663222495187E-4</c:v>
                </c:pt>
                <c:pt idx="12">
                  <c:v>8.1484364869450923E-4</c:v>
                </c:pt>
                <c:pt idx="13">
                  <c:v>8.311405216683993E-4</c:v>
                </c:pt>
                <c:pt idx="14">
                  <c:v>8.4776333210176739E-4</c:v>
                </c:pt>
                <c:pt idx="15">
                  <c:v>8.6471859874380258E-4</c:v>
                </c:pt>
                <c:pt idx="16">
                  <c:v>8.8201297071867878E-4</c:v>
                </c:pt>
                <c:pt idx="17">
                  <c:v>8.9965323013305241E-4</c:v>
                </c:pt>
                <c:pt idx="18">
                  <c:v>9.1764629473571342E-4</c:v>
                </c:pt>
                <c:pt idx="19">
                  <c:v>9.3599922063042763E-4</c:v>
                </c:pt>
                <c:pt idx="20">
                  <c:v>9.5471920504303618E-4</c:v>
                </c:pt>
                <c:pt idx="21">
                  <c:v>9.7381358914389688E-4</c:v>
                </c:pt>
                <c:pt idx="22">
                  <c:v>9.9328986092677503E-4</c:v>
                </c:pt>
                <c:pt idx="23">
                  <c:v>1.0131556581453101E-3</c:v>
                </c:pt>
                <c:pt idx="24">
                  <c:v>1.0334187713082164E-3</c:v>
                </c:pt>
                <c:pt idx="25">
                  <c:v>1.0540871467343807E-3</c:v>
                </c:pt>
                <c:pt idx="26">
                  <c:v>1.0751688896690685E-3</c:v>
                </c:pt>
                <c:pt idx="27">
                  <c:v>1.0966722674624497E-3</c:v>
                </c:pt>
                <c:pt idx="28">
                  <c:v>1.1186057128116989E-3</c:v>
                </c:pt>
                <c:pt idx="29">
                  <c:v>1.1409778270679326E-3</c:v>
                </c:pt>
                <c:pt idx="30">
                  <c:v>1.1637973836092915E-3</c:v>
                </c:pt>
                <c:pt idx="31">
                  <c:v>1.1870733312814769E-3</c:v>
                </c:pt>
                <c:pt idx="32">
                  <c:v>1.2108147979071069E-3</c:v>
                </c:pt>
                <c:pt idx="33">
                  <c:v>1.2350310938652491E-3</c:v>
                </c:pt>
                <c:pt idx="34">
                  <c:v>1.259731715742554E-3</c:v>
                </c:pt>
                <c:pt idx="35">
                  <c:v>1.284926350057405E-3</c:v>
                </c:pt>
                <c:pt idx="36">
                  <c:v>1.2106248770585527E-3</c:v>
                </c:pt>
                <c:pt idx="37">
                  <c:v>1.1348373745997242E-3</c:v>
                </c:pt>
                <c:pt idx="38">
                  <c:v>1.0575341220917186E-3</c:v>
                </c:pt>
                <c:pt idx="39">
                  <c:v>9.7868480453355247E-4</c:v>
                </c:pt>
                <c:pt idx="40">
                  <c:v>8.982585006242238E-4</c:v>
                </c:pt>
                <c:pt idx="41">
                  <c:v>8.162236706367082E-4</c:v>
                </c:pt>
                <c:pt idx="42">
                  <c:v>7.3254814404944237E-4</c:v>
                </c:pt>
                <c:pt idx="43">
                  <c:v>6.4719910693043108E-4</c:v>
                </c:pt>
                <c:pt idx="44">
                  <c:v>5.6014308906903983E-4</c:v>
                </c:pt>
                <c:pt idx="45">
                  <c:v>4.7134595085042056E-4</c:v>
                </c:pt>
                <c:pt idx="46">
                  <c:v>3.8077286986742899E-4</c:v>
                </c:pt>
                <c:pt idx="47">
                  <c:v>2.8838832726477744E-4</c:v>
                </c:pt>
                <c:pt idx="48">
                  <c:v>1.9415609381007303E-4</c:v>
                </c:pt>
                <c:pt idx="49">
                  <c:v>9.8039215686274519E-5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F8-2742-A8EE-C690B2A20900}"/>
            </c:ext>
          </c:extLst>
        </c:ser>
        <c:ser>
          <c:idx val="2"/>
          <c:order val="2"/>
          <c:tx>
            <c:strRef>
              <c:f>'Discretionary Spending'!$P$3</c:f>
              <c:strCache>
                <c:ptCount val="1"/>
                <c:pt idx="0">
                  <c:v>PV of Future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Spending'!$P$4:$P$54</c:f>
              <c:numCache>
                <c:formatCode>0</c:formatCode>
                <c:ptCount val="51"/>
                <c:pt idx="0">
                  <c:v>-3142.3605893651907</c:v>
                </c:pt>
                <c:pt idx="1">
                  <c:v>-3105.2078011524945</c:v>
                </c:pt>
                <c:pt idx="2">
                  <c:v>-3067.3119571755451</c:v>
                </c:pt>
                <c:pt idx="3">
                  <c:v>-3028.6581963190552</c:v>
                </c:pt>
                <c:pt idx="4">
                  <c:v>-2989.2313602454374</c:v>
                </c:pt>
                <c:pt idx="5">
                  <c:v>-2949.0159874503452</c:v>
                </c:pt>
                <c:pt idx="6">
                  <c:v>-2907.9963071993529</c:v>
                </c:pt>
                <c:pt idx="7">
                  <c:v>-2866.1562333433394</c:v>
                </c:pt>
                <c:pt idx="8">
                  <c:v>-2823.4793580102055</c:v>
                </c:pt>
                <c:pt idx="9">
                  <c:v>-2779.9489451704103</c:v>
                </c:pt>
                <c:pt idx="10">
                  <c:v>-2735.5479240738182</c:v>
                </c:pt>
                <c:pt idx="11">
                  <c:v>-2690.2588825552948</c:v>
                </c:pt>
                <c:pt idx="12">
                  <c:v>-2644.0640602064009</c:v>
                </c:pt>
                <c:pt idx="13">
                  <c:v>-2596.9453414105287</c:v>
                </c:pt>
                <c:pt idx="14">
                  <c:v>-2548.884248238739</c:v>
                </c:pt>
                <c:pt idx="15">
                  <c:v>-2499.8619332035137</c:v>
                </c:pt>
                <c:pt idx="16">
                  <c:v>-2449.8591718675843</c:v>
                </c:pt>
                <c:pt idx="17">
                  <c:v>-2398.8563553049362</c:v>
                </c:pt>
                <c:pt idx="18">
                  <c:v>-2346.8334824110348</c:v>
                </c:pt>
                <c:pt idx="19">
                  <c:v>-2293.770152059255</c:v>
                </c:pt>
                <c:pt idx="20">
                  <c:v>-2239.6455551004401</c:v>
                </c:pt>
                <c:pt idx="21">
                  <c:v>-2184.4384662024495</c:v>
                </c:pt>
                <c:pt idx="22">
                  <c:v>-2128.1272355264987</c:v>
                </c:pt>
                <c:pt idx="23">
                  <c:v>-2070.6897802370281</c:v>
                </c:pt>
                <c:pt idx="24">
                  <c:v>-2012.1035758417688</c:v>
                </c:pt>
                <c:pt idx="25">
                  <c:v>-1952.3456473586036</c:v>
                </c:pt>
                <c:pt idx="26">
                  <c:v>-1891.3925603057762</c:v>
                </c:pt>
                <c:pt idx="27">
                  <c:v>-1829.2204115118916</c:v>
                </c:pt>
                <c:pt idx="28">
                  <c:v>-1765.8048197421299</c:v>
                </c:pt>
                <c:pt idx="29">
                  <c:v>-1701.1209161369723</c:v>
                </c:pt>
                <c:pt idx="30">
                  <c:v>-1635.1433344597119</c:v>
                </c:pt>
                <c:pt idx="31">
                  <c:v>-1567.8462011489057</c:v>
                </c:pt>
                <c:pt idx="32">
                  <c:v>-1499.2031251718843</c:v>
                </c:pt>
                <c:pt idx="33">
                  <c:v>-1429.1871876753221</c:v>
                </c:pt>
                <c:pt idx="34">
                  <c:v>-1357.7709314288284</c:v>
                </c:pt>
                <c:pt idx="35">
                  <c:v>-1284.9263500574048</c:v>
                </c:pt>
                <c:pt idx="36">
                  <c:v>-1210.6248770585528</c:v>
                </c:pt>
                <c:pt idx="37">
                  <c:v>-1134.8373745997239</c:v>
                </c:pt>
                <c:pt idx="38">
                  <c:v>-1057.5341220917187</c:v>
                </c:pt>
                <c:pt idx="39">
                  <c:v>-978.68480453355244</c:v>
                </c:pt>
                <c:pt idx="40">
                  <c:v>-898.25850062422364</c:v>
                </c:pt>
                <c:pt idx="41">
                  <c:v>-816.22367063670799</c:v>
                </c:pt>
                <c:pt idx="42">
                  <c:v>-732.54814404944227</c:v>
                </c:pt>
                <c:pt idx="43">
                  <c:v>-647.19910693043107</c:v>
                </c:pt>
                <c:pt idx="44">
                  <c:v>-560.14308906903977</c:v>
                </c:pt>
                <c:pt idx="45">
                  <c:v>-471.34595085042048</c:v>
                </c:pt>
                <c:pt idx="46">
                  <c:v>-380.77286986742899</c:v>
                </c:pt>
                <c:pt idx="47">
                  <c:v>-288.38832726477744</c:v>
                </c:pt>
                <c:pt idx="48">
                  <c:v>-194.15609381007303</c:v>
                </c:pt>
                <c:pt idx="49">
                  <c:v>-98.039215686274517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F8-2742-A8EE-C690B2A20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Durations of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Spending'!$Q$3</c:f>
              <c:strCache>
                <c:ptCount val="1"/>
                <c:pt idx="0">
                  <c:v>Duration of Future Earnings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Spending'!$Q$4:$Q$54</c:f>
              <c:numCache>
                <c:formatCode>0</c:formatCode>
                <c:ptCount val="51"/>
                <c:pt idx="0">
                  <c:v>15.682484231556147</c:v>
                </c:pt>
                <c:pt idx="1">
                  <c:v>15.302211960910602</c:v>
                </c:pt>
                <c:pt idx="2">
                  <c:v>14.918846790360565</c:v>
                </c:pt>
                <c:pt idx="3">
                  <c:v>14.532380650744599</c:v>
                </c:pt>
                <c:pt idx="4">
                  <c:v>14.142805689829556</c:v>
                </c:pt>
                <c:pt idx="5">
                  <c:v>13.750114274407412</c:v>
                </c:pt>
                <c:pt idx="6">
                  <c:v>13.354298992339599</c:v>
                </c:pt>
                <c:pt idx="7">
                  <c:v>12.955352654547712</c:v>
                </c:pt>
                <c:pt idx="8">
                  <c:v>12.553268296949527</c:v>
                </c:pt>
                <c:pt idx="9">
                  <c:v>12.14803918233947</c:v>
                </c:pt>
                <c:pt idx="10">
                  <c:v>11.739658802212357</c:v>
                </c:pt>
                <c:pt idx="11">
                  <c:v>11.328120878529539</c:v>
                </c:pt>
                <c:pt idx="12">
                  <c:v>10.913419365426568</c:v>
                </c:pt>
                <c:pt idx="13">
                  <c:v>10.49554845086139</c:v>
                </c:pt>
                <c:pt idx="14">
                  <c:v>10.074502558202276</c:v>
                </c:pt>
                <c:pt idx="15">
                  <c:v>9.6502763477545219</c:v>
                </c:pt>
                <c:pt idx="16">
                  <c:v>9.2228647182252992</c:v>
                </c:pt>
                <c:pt idx="17">
                  <c:v>8.7922628081256544</c:v>
                </c:pt>
                <c:pt idx="18">
                  <c:v>8.3584659971090645</c:v>
                </c:pt>
                <c:pt idx="19">
                  <c:v>7.9214699072457897</c:v>
                </c:pt>
                <c:pt idx="20">
                  <c:v>7.4812704042322649</c:v>
                </c:pt>
                <c:pt idx="21">
                  <c:v>7.0378635985350027</c:v>
                </c:pt>
                <c:pt idx="22">
                  <c:v>6.5912458464682588</c:v>
                </c:pt>
                <c:pt idx="23">
                  <c:v>6.1414137512050084</c:v>
                </c:pt>
                <c:pt idx="24">
                  <c:v>5.6883641637205686</c:v>
                </c:pt>
                <c:pt idx="25">
                  <c:v>5.2320941836684103</c:v>
                </c:pt>
                <c:pt idx="26">
                  <c:v>4.7726011601877012</c:v>
                </c:pt>
                <c:pt idx="27">
                  <c:v>4.3098826926420921</c:v>
                </c:pt>
                <c:pt idx="28">
                  <c:v>3.8439366312893708</c:v>
                </c:pt>
                <c:pt idx="29">
                  <c:v>3.3747610778816193</c:v>
                </c:pt>
                <c:pt idx="30">
                  <c:v>2.9023543861955372</c:v>
                </c:pt>
                <c:pt idx="31">
                  <c:v>2.4267151624926435</c:v>
                </c:pt>
                <c:pt idx="32">
                  <c:v>1.9478422659091084</c:v>
                </c:pt>
                <c:pt idx="33">
                  <c:v>1.4657348087749953</c:v>
                </c:pt>
                <c:pt idx="34">
                  <c:v>0.98039215686274506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6-8142-83BB-C92860039F09}"/>
            </c:ext>
          </c:extLst>
        </c:ser>
        <c:ser>
          <c:idx val="1"/>
          <c:order val="1"/>
          <c:tx>
            <c:strRef>
              <c:f>'Discretionary Spending'!$R$3</c:f>
              <c:strCache>
                <c:ptCount val="1"/>
                <c:pt idx="0">
                  <c:v>Duration of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Spending'!$R$4:$R$54</c:f>
              <c:numCache>
                <c:formatCode>0</c:formatCode>
                <c:ptCount val="51"/>
                <c:pt idx="0">
                  <c:v>41.79499589442834</c:v>
                </c:pt>
                <c:pt idx="1">
                  <c:v>40.814603737565591</c:v>
                </c:pt>
                <c:pt idx="2">
                  <c:v>39.834211580702856</c:v>
                </c:pt>
                <c:pt idx="3">
                  <c:v>38.8538194238401</c:v>
                </c:pt>
                <c:pt idx="4">
                  <c:v>37.873427266977352</c:v>
                </c:pt>
                <c:pt idx="5">
                  <c:v>36.893035110114603</c:v>
                </c:pt>
                <c:pt idx="6">
                  <c:v>35.912642953251854</c:v>
                </c:pt>
                <c:pt idx="7">
                  <c:v>34.93225079638912</c:v>
                </c:pt>
                <c:pt idx="8">
                  <c:v>33.951858639526378</c:v>
                </c:pt>
                <c:pt idx="9">
                  <c:v>32.971466482663637</c:v>
                </c:pt>
                <c:pt idx="10">
                  <c:v>31.991074325800888</c:v>
                </c:pt>
                <c:pt idx="11">
                  <c:v>31.010682168938143</c:v>
                </c:pt>
                <c:pt idx="12">
                  <c:v>30.030290012075394</c:v>
                </c:pt>
                <c:pt idx="13">
                  <c:v>29.049897855212652</c:v>
                </c:pt>
                <c:pt idx="14">
                  <c:v>28.069505698349911</c:v>
                </c:pt>
                <c:pt idx="15">
                  <c:v>27.089113541487166</c:v>
                </c:pt>
                <c:pt idx="16">
                  <c:v>26.10872138462442</c:v>
                </c:pt>
                <c:pt idx="17">
                  <c:v>25.128329227761672</c:v>
                </c:pt>
                <c:pt idx="18">
                  <c:v>24.14793707089893</c:v>
                </c:pt>
                <c:pt idx="19">
                  <c:v>23.167544914036185</c:v>
                </c:pt>
                <c:pt idx="20">
                  <c:v>22.18715275717344</c:v>
                </c:pt>
                <c:pt idx="21">
                  <c:v>21.206760600310695</c:v>
                </c:pt>
                <c:pt idx="22">
                  <c:v>20.226368443447949</c:v>
                </c:pt>
                <c:pt idx="23">
                  <c:v>19.245976286585208</c:v>
                </c:pt>
                <c:pt idx="24">
                  <c:v>18.265584129722463</c:v>
                </c:pt>
                <c:pt idx="25">
                  <c:v>17.285191972859714</c:v>
                </c:pt>
                <c:pt idx="26">
                  <c:v>16.304799815996969</c:v>
                </c:pt>
                <c:pt idx="27">
                  <c:v>15.32440765913422</c:v>
                </c:pt>
                <c:pt idx="28">
                  <c:v>14.344015502271475</c:v>
                </c:pt>
                <c:pt idx="29">
                  <c:v>13.363623345408733</c:v>
                </c:pt>
                <c:pt idx="30">
                  <c:v>12.38323118854599</c:v>
                </c:pt>
                <c:pt idx="31">
                  <c:v>11.402839031683245</c:v>
                </c:pt>
                <c:pt idx="32">
                  <c:v>10.422446874820498</c:v>
                </c:pt>
                <c:pt idx="33">
                  <c:v>9.4420547179577561</c:v>
                </c:pt>
                <c:pt idx="34">
                  <c:v>8.4616625610950091</c:v>
                </c:pt>
                <c:pt idx="35">
                  <c:v>7.481270404232264</c:v>
                </c:pt>
                <c:pt idx="36">
                  <c:v>7.0378635985350018</c:v>
                </c:pt>
                <c:pt idx="37">
                  <c:v>6.5912458464682553</c:v>
                </c:pt>
                <c:pt idx="38">
                  <c:v>6.1414137512050084</c:v>
                </c:pt>
                <c:pt idx="39">
                  <c:v>5.6883641637205669</c:v>
                </c:pt>
                <c:pt idx="40">
                  <c:v>5.2320941836684076</c:v>
                </c:pt>
                <c:pt idx="41">
                  <c:v>4.7726011601877003</c:v>
                </c:pt>
                <c:pt idx="42">
                  <c:v>4.3098826926420921</c:v>
                </c:pt>
                <c:pt idx="43">
                  <c:v>3.8439366312893708</c:v>
                </c:pt>
                <c:pt idx="44">
                  <c:v>3.3747610778816193</c:v>
                </c:pt>
                <c:pt idx="45">
                  <c:v>2.9023543861955368</c:v>
                </c:pt>
                <c:pt idx="46">
                  <c:v>2.4267151624926435</c:v>
                </c:pt>
                <c:pt idx="47">
                  <c:v>1.9478422659091086</c:v>
                </c:pt>
                <c:pt idx="48">
                  <c:v>1.4657348087749951</c:v>
                </c:pt>
                <c:pt idx="49">
                  <c:v>0.98039215686274506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E6-8142-83BB-C92860039F09}"/>
            </c:ext>
          </c:extLst>
        </c:ser>
        <c:ser>
          <c:idx val="2"/>
          <c:order val="2"/>
          <c:tx>
            <c:strRef>
              <c:f>'Discretionary Spending'!$S$3</c:f>
              <c:strCache>
                <c:ptCount val="1"/>
                <c:pt idx="0">
                  <c:v>Duration of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Spending'!$S$4:$S$54</c:f>
              <c:numCache>
                <c:formatCode>0</c:formatCode>
                <c:ptCount val="51"/>
                <c:pt idx="0">
                  <c:v>21.021544843880971</c:v>
                </c:pt>
                <c:pt idx="1">
                  <c:v>20.686557245115111</c:v>
                </c:pt>
                <c:pt idx="2">
                  <c:v>20.348622241726844</c:v>
                </c:pt>
                <c:pt idx="3">
                  <c:v>20.007728794504022</c:v>
                </c:pt>
                <c:pt idx="4">
                  <c:v>19.663866044186737</c:v>
                </c:pt>
                <c:pt idx="5">
                  <c:v>19.317023314211887</c:v>
                </c:pt>
                <c:pt idx="6">
                  <c:v>18.967190113423221</c:v>
                </c:pt>
                <c:pt idx="7">
                  <c:v>18.614356138745791</c:v>
                </c:pt>
                <c:pt idx="8">
                  <c:v>18.258511277823274</c:v>
                </c:pt>
                <c:pt idx="9">
                  <c:v>17.899645611617039</c:v>
                </c:pt>
                <c:pt idx="10">
                  <c:v>17.537749416965696</c:v>
                </c:pt>
                <c:pt idx="11">
                  <c:v>17.172813169103652</c:v>
                </c:pt>
                <c:pt idx="12">
                  <c:v>16.804827544137755</c:v>
                </c:pt>
                <c:pt idx="13">
                  <c:v>16.433783421480456</c:v>
                </c:pt>
                <c:pt idx="14">
                  <c:v>16.059671886238561</c:v>
                </c:pt>
                <c:pt idx="15">
                  <c:v>15.682484231556142</c:v>
                </c:pt>
                <c:pt idx="16">
                  <c:v>15.302211960910601</c:v>
                </c:pt>
                <c:pt idx="17">
                  <c:v>14.918846790360561</c:v>
                </c:pt>
                <c:pt idx="18">
                  <c:v>14.532380650744596</c:v>
                </c:pt>
                <c:pt idx="19">
                  <c:v>14.14280568982956</c:v>
                </c:pt>
                <c:pt idx="20">
                  <c:v>13.750114274407416</c:v>
                </c:pt>
                <c:pt idx="21">
                  <c:v>13.354298992339601</c:v>
                </c:pt>
                <c:pt idx="22">
                  <c:v>12.955352654547704</c:v>
                </c:pt>
                <c:pt idx="23">
                  <c:v>12.553268296949522</c:v>
                </c:pt>
                <c:pt idx="24">
                  <c:v>12.148039182339472</c:v>
                </c:pt>
                <c:pt idx="25">
                  <c:v>11.739658802212361</c:v>
                </c:pt>
                <c:pt idx="26">
                  <c:v>11.328120878529543</c:v>
                </c:pt>
                <c:pt idx="27">
                  <c:v>10.913419365426567</c:v>
                </c:pt>
                <c:pt idx="28">
                  <c:v>10.495548450861394</c:v>
                </c:pt>
                <c:pt idx="29">
                  <c:v>10.074502558202276</c:v>
                </c:pt>
                <c:pt idx="30">
                  <c:v>9.6502763477545255</c:v>
                </c:pt>
                <c:pt idx="31">
                  <c:v>9.2228647182252992</c:v>
                </c:pt>
                <c:pt idx="32">
                  <c:v>8.7922628081256509</c:v>
                </c:pt>
                <c:pt idx="33">
                  <c:v>8.3584659971090645</c:v>
                </c:pt>
                <c:pt idx="34">
                  <c:v>7.9214699072457861</c:v>
                </c:pt>
                <c:pt idx="35">
                  <c:v>7.4812704042322649</c:v>
                </c:pt>
                <c:pt idx="36">
                  <c:v>7.0378635985349982</c:v>
                </c:pt>
                <c:pt idx="37">
                  <c:v>6.5912458464682571</c:v>
                </c:pt>
                <c:pt idx="38">
                  <c:v>6.1414137512050067</c:v>
                </c:pt>
                <c:pt idx="39">
                  <c:v>5.6883641637205669</c:v>
                </c:pt>
                <c:pt idx="40">
                  <c:v>5.2320941836684094</c:v>
                </c:pt>
                <c:pt idx="41">
                  <c:v>4.7726011601877012</c:v>
                </c:pt>
                <c:pt idx="42">
                  <c:v>4.309882692642093</c:v>
                </c:pt>
                <c:pt idx="43">
                  <c:v>3.8439366312893708</c:v>
                </c:pt>
                <c:pt idx="44">
                  <c:v>3.3747610778816197</c:v>
                </c:pt>
                <c:pt idx="45">
                  <c:v>2.9023543861955372</c:v>
                </c:pt>
                <c:pt idx="46">
                  <c:v>2.426715162492644</c:v>
                </c:pt>
                <c:pt idx="47">
                  <c:v>1.9478422659091086</c:v>
                </c:pt>
                <c:pt idx="48">
                  <c:v>1.4657348087749953</c:v>
                </c:pt>
                <c:pt idx="49">
                  <c:v>0.98039215686274506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E6-8142-83BB-C92860039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Capital vs</a:t>
            </a:r>
            <a:r>
              <a:rPr lang="en-US" baseline="0"/>
              <a:t> Financial Wealth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Spending'!$W$3</c:f>
              <c:strCache>
                <c:ptCount val="1"/>
                <c:pt idx="0">
                  <c:v>Financial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Spending'!$W$4:$W$54</c:f>
              <c:numCache>
                <c:formatCode>General</c:formatCode>
                <c:ptCount val="51"/>
                <c:pt idx="0">
                  <c:v>100</c:v>
                </c:pt>
                <c:pt idx="1">
                  <c:v>127.12760567481908</c:v>
                </c:pt>
                <c:pt idx="2">
                  <c:v>157.85278045913049</c:v>
                </c:pt>
                <c:pt idx="3">
                  <c:v>192.26007485151317</c:v>
                </c:pt>
                <c:pt idx="4">
                  <c:v>230.43578232020684</c:v>
                </c:pt>
                <c:pt idx="5">
                  <c:v>272.46797437679083</c:v>
                </c:pt>
                <c:pt idx="6">
                  <c:v>318.44653635222028</c:v>
                </c:pt>
                <c:pt idx="7">
                  <c:v>368.4632038892704</c:v>
                </c:pt>
                <c:pt idx="8">
                  <c:v>422.61160016572063</c:v>
                </c:pt>
                <c:pt idx="9">
                  <c:v>480.98727386289698</c:v>
                </c:pt>
                <c:pt idx="10">
                  <c:v>543.68773789448392</c:v>
                </c:pt>
                <c:pt idx="11">
                  <c:v>610.81250891081459</c:v>
                </c:pt>
                <c:pt idx="12">
                  <c:v>682.46314759415259</c:v>
                </c:pt>
                <c:pt idx="13">
                  <c:v>758.74329976078855</c:v>
                </c:pt>
                <c:pt idx="14">
                  <c:v>839.75873828609292</c:v>
                </c:pt>
                <c:pt idx="15">
                  <c:v>925.61740586898577</c:v>
                </c:pt>
                <c:pt idx="16">
                  <c:v>1016.4294586526178</c:v>
                </c:pt>
                <c:pt idx="17">
                  <c:v>1112.3073107183886</c:v>
                </c:pt>
                <c:pt idx="18">
                  <c:v>1213.3656794707749</c:v>
                </c:pt>
                <c:pt idx="19">
                  <c:v>1319.7216319307872</c:v>
                </c:pt>
                <c:pt idx="20">
                  <c:v>1431.4946319562309</c:v>
                </c:pt>
                <c:pt idx="21">
                  <c:v>1548.8065884073139</c:v>
                </c:pt>
                <c:pt idx="22">
                  <c:v>1671.8456753546732</c:v>
                </c:pt>
                <c:pt idx="23">
                  <c:v>1800.3044576553496</c:v>
                </c:pt>
                <c:pt idx="24">
                  <c:v>1933.7711775713053</c:v>
                </c:pt>
                <c:pt idx="25">
                  <c:v>2071.9053306881515</c:v>
                </c:pt>
                <c:pt idx="26">
                  <c:v>2214.4264270533436</c:v>
                </c:pt>
                <c:pt idx="27">
                  <c:v>2361.1040678106119</c:v>
                </c:pt>
                <c:pt idx="28">
                  <c:v>2511.7494856142271</c:v>
                </c:pt>
                <c:pt idx="29">
                  <c:v>2666.2844427240429</c:v>
                </c:pt>
                <c:pt idx="30">
                  <c:v>2825.0478083556554</c:v>
                </c:pt>
                <c:pt idx="31">
                  <c:v>2988.0158515906664</c:v>
                </c:pt>
                <c:pt idx="32">
                  <c:v>3155.1631414024837</c:v>
                </c:pt>
                <c:pt idx="33">
                  <c:v>3326.4602669303963</c:v>
                </c:pt>
                <c:pt idx="34">
                  <c:v>3501.8718163488174</c:v>
                </c:pt>
                <c:pt idx="35">
                  <c:v>3681.3545490238057</c:v>
                </c:pt>
                <c:pt idx="36">
                  <c:v>3614.8558084111733</c:v>
                </c:pt>
                <c:pt idx="37">
                  <c:v>3546.4726831560793</c:v>
                </c:pt>
                <c:pt idx="38">
                  <c:v>3476.152574147111</c:v>
                </c:pt>
                <c:pt idx="39">
                  <c:v>3403.8441940396319</c:v>
                </c:pt>
                <c:pt idx="40">
                  <c:v>3329.4974977637366</c:v>
                </c:pt>
                <c:pt idx="41">
                  <c:v>3253.0635682905245</c:v>
                </c:pt>
                <c:pt idx="42">
                  <c:v>3174.4944468937956</c:v>
                </c:pt>
                <c:pt idx="43">
                  <c:v>3093.7428942566785</c:v>
                </c:pt>
                <c:pt idx="44">
                  <c:v>3010.7620650091321</c:v>
                </c:pt>
                <c:pt idx="45">
                  <c:v>2925.5050733338721</c:v>
                </c:pt>
                <c:pt idx="46">
                  <c:v>2837.9244207079428</c:v>
                </c:pt>
                <c:pt idx="47">
                  <c:v>2747.9712480275598</c:v>
                </c:pt>
                <c:pt idx="48">
                  <c:v>2655.5943623801877</c:v>
                </c:pt>
                <c:pt idx="49">
                  <c:v>2560.7389722234407</c:v>
                </c:pt>
                <c:pt idx="50">
                  <c:v>2463.345041655512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9-0846-B1AD-AF6081607651}"/>
            </c:ext>
          </c:extLst>
        </c:ser>
        <c:ser>
          <c:idx val="1"/>
          <c:order val="1"/>
          <c:tx>
            <c:strRef>
              <c:f>'Discretionary Spending'!$X$3</c:f>
              <c:strCache>
                <c:ptCount val="1"/>
                <c:pt idx="0">
                  <c:v>Total Wealth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Spending'!$X$4:$X$54</c:f>
              <c:numCache>
                <c:formatCode>0</c:formatCode>
                <c:ptCount val="51"/>
                <c:pt idx="0">
                  <c:v>3207.2948861422497</c:v>
                </c:pt>
                <c:pt idx="1">
                  <c:v>3146.5683895399143</c:v>
                </c:pt>
                <c:pt idx="2">
                  <c:v>3087.6823800015263</c:v>
                </c:pt>
                <c:pt idx="3">
                  <c:v>3030.6862663847573</c:v>
                </c:pt>
                <c:pt idx="4">
                  <c:v>2975.6304976841157</c:v>
                </c:pt>
                <c:pt idx="5">
                  <c:v>2922.5665840479796</c:v>
                </c:pt>
                <c:pt idx="6">
                  <c:v>2871.5471182168326</c:v>
                </c:pt>
                <c:pt idx="7">
                  <c:v>2822.6257973911743</c:v>
                </c:pt>
                <c:pt idx="8">
                  <c:v>2775.857445537662</c:v>
                </c:pt>
                <c:pt idx="9">
                  <c:v>2731.2980361422783</c:v>
                </c:pt>
                <c:pt idx="10">
                  <c:v>2689.0047154194535</c:v>
                </c:pt>
                <c:pt idx="11">
                  <c:v>2649.0358259862824</c:v>
                </c:pt>
                <c:pt idx="12">
                  <c:v>2611.4509310111307</c:v>
                </c:pt>
                <c:pt idx="13">
                  <c:v>2576.3108388461064</c:v>
                </c:pt>
                <c:pt idx="14">
                  <c:v>2543.6776281531174</c:v>
                </c:pt>
                <c:pt idx="15">
                  <c:v>2513.6146735333505</c:v>
                </c:pt>
                <c:pt idx="16">
                  <c:v>2486.1866716702698</c:v>
                </c:pt>
                <c:pt idx="17">
                  <c:v>2461.4596679963925</c:v>
                </c:pt>
                <c:pt idx="18">
                  <c:v>2439.501083894339</c:v>
                </c:pt>
                <c:pt idx="19">
                  <c:v>2420.3797444428228</c:v>
                </c:pt>
                <c:pt idx="20">
                  <c:v>2404.1659067185069</c:v>
                </c:pt>
                <c:pt idx="21">
                  <c:v>2390.9312886648345</c:v>
                </c:pt>
                <c:pt idx="22">
                  <c:v>2380.8128696173453</c:v>
                </c:pt>
                <c:pt idx="23">
                  <c:v>2373.450995803275</c:v>
                </c:pt>
                <c:pt idx="24">
                  <c:v>2368.3806464821891</c:v>
                </c:pt>
                <c:pt idx="25">
                  <c:v>2365.2069889772529</c:v>
                </c:pt>
                <c:pt idx="26">
                  <c:v>2363.594118508227</c:v>
                </c:pt>
                <c:pt idx="27">
                  <c:v>2363.2551130945931</c:v>
                </c:pt>
                <c:pt idx="28">
                  <c:v>2363.9435518038881</c:v>
                </c:pt>
                <c:pt idx="29">
                  <c:v>2365.5223902374973</c:v>
                </c:pt>
                <c:pt idx="30">
                  <c:v>2368.2705148193786</c:v>
                </c:pt>
                <c:pt idx="31">
                  <c:v>2372.1030121836639</c:v>
                </c:pt>
                <c:pt idx="32">
                  <c:v>2376.9320452073412</c:v>
                </c:pt>
                <c:pt idx="33">
                  <c:v>2382.6645488113509</c:v>
                </c:pt>
                <c:pt idx="34">
                  <c:v>2389.2001838673914</c:v>
                </c:pt>
                <c:pt idx="35">
                  <c:v>2396.4294838927508</c:v>
                </c:pt>
                <c:pt idx="36">
                  <c:v>2404.2321419774976</c:v>
                </c:pt>
                <c:pt idx="37">
                  <c:v>2411.6364433937297</c:v>
                </c:pt>
                <c:pt idx="38">
                  <c:v>2418.6195095895146</c:v>
                </c:pt>
                <c:pt idx="39">
                  <c:v>2425.1603681908841</c:v>
                </c:pt>
                <c:pt idx="40">
                  <c:v>2431.2398953980137</c:v>
                </c:pt>
                <c:pt idx="41">
                  <c:v>2436.8407138774874</c:v>
                </c:pt>
                <c:pt idx="42">
                  <c:v>2441.9470353924971</c:v>
                </c:pt>
                <c:pt idx="43">
                  <c:v>2446.5444345253545</c:v>
                </c:pt>
                <c:pt idx="44">
                  <c:v>2450.6195360831816</c:v>
                </c:pt>
                <c:pt idx="45">
                  <c:v>2454.1595938294026</c:v>
                </c:pt>
                <c:pt idx="46">
                  <c:v>2457.1519316133836</c:v>
                </c:pt>
                <c:pt idx="47">
                  <c:v>2459.5832091511097</c:v>
                </c:pt>
                <c:pt idx="48">
                  <c:v>2461.4384627262084</c:v>
                </c:pt>
                <c:pt idx="49">
                  <c:v>2462.6998545763818</c:v>
                </c:pt>
                <c:pt idx="50">
                  <c:v>2363.3451416555122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B9-0846-B1AD-AF608160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Decomposition of Human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Spending'!$Z$3</c:f>
              <c:strCache>
                <c:ptCount val="1"/>
                <c:pt idx="0">
                  <c:v>Stocks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Spending'!$Z$4:$Z$54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D-6E41-B971-AA0F692CD1B3}"/>
            </c:ext>
          </c:extLst>
        </c:ser>
        <c:ser>
          <c:idx val="1"/>
          <c:order val="1"/>
          <c:tx>
            <c:strRef>
              <c:f>'Discretionary Spending'!$AA$3</c:f>
              <c:strCache>
                <c:ptCount val="1"/>
                <c:pt idx="0">
                  <c:v>Bonds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Spending'!$AA$4:$AA$54</c:f>
              <c:numCache>
                <c:formatCode>0</c:formatCode>
                <c:ptCount val="51"/>
                <c:pt idx="0">
                  <c:v>5297.8439660177801</c:v>
                </c:pt>
                <c:pt idx="1">
                  <c:v>5065.9816651754991</c:v>
                </c:pt>
                <c:pt idx="2">
                  <c:v>4836.2392482266332</c:v>
                </c:pt>
                <c:pt idx="3">
                  <c:v>4608.7942554472538</c:v>
                </c:pt>
                <c:pt idx="4">
                  <c:v>4383.8304807709246</c:v>
                </c:pt>
                <c:pt idx="5">
                  <c:v>4161.5381509188755</c:v>
                </c:pt>
                <c:pt idx="6">
                  <c:v>3942.1141091939498</c:v>
                </c:pt>
                <c:pt idx="7">
                  <c:v>3725.7620040531756</c:v>
                </c:pt>
                <c:pt idx="8">
                  <c:v>3512.6924825766027</c:v>
                </c:pt>
                <c:pt idx="9">
                  <c:v>3303.1233889528603</c:v>
                </c:pt>
                <c:pt idx="10">
                  <c:v>3097.2799681046517</c:v>
                </c:pt>
                <c:pt idx="11">
                  <c:v>2895.3950745804468</c:v>
                </c:pt>
                <c:pt idx="12">
                  <c:v>2697.7093868415454</c:v>
                </c:pt>
                <c:pt idx="13">
                  <c:v>2504.471627076769</c:v>
                </c:pt>
                <c:pt idx="14">
                  <c:v>2315.9387866801799</c:v>
                </c:pt>
                <c:pt idx="15">
                  <c:v>2132.3763575304079</c:v>
                </c:pt>
                <c:pt idx="16">
                  <c:v>1954.058569213488</c:v>
                </c:pt>
                <c:pt idx="17">
                  <c:v>1781.2686323343926</c:v>
                </c:pt>
                <c:pt idx="18">
                  <c:v>1614.2989880659604</c:v>
                </c:pt>
                <c:pt idx="19">
                  <c:v>1453.4515640873713</c:v>
                </c:pt>
                <c:pt idx="20">
                  <c:v>1299.0380370679252</c:v>
                </c:pt>
                <c:pt idx="21">
                  <c:v>1151.380101855581</c:v>
                </c:pt>
                <c:pt idx="22">
                  <c:v>1010.8097475334288</c:v>
                </c:pt>
                <c:pt idx="23">
                  <c:v>877.66954051116147</c:v>
                </c:pt>
                <c:pt idx="24">
                  <c:v>752.31291482250413</c:v>
                </c:pt>
                <c:pt idx="25">
                  <c:v>635.10446980360882</c:v>
                </c:pt>
                <c:pt idx="26">
                  <c:v>526.42027533154283</c:v>
                </c:pt>
                <c:pt idx="27">
                  <c:v>426.64818480618607</c:v>
                </c:pt>
                <c:pt idx="28">
                  <c:v>336.18815606319612</c:v>
                </c:pt>
                <c:pt idx="29">
                  <c:v>255.45258041007733</c:v>
                </c:pt>
                <c:pt idx="30">
                  <c:v>184.86661998192218</c:v>
                </c:pt>
                <c:pt idx="31">
                  <c:v>124.86855361799026</c:v>
                </c:pt>
                <c:pt idx="32">
                  <c:v>75.910131465021863</c:v>
                </c:pt>
                <c:pt idx="33">
                  <c:v>38.45693851800101</c:v>
                </c:pt>
                <c:pt idx="34">
                  <c:v>12.98876731402683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D-6E41-B971-AA0F692CD1B3}"/>
            </c:ext>
          </c:extLst>
        </c:ser>
        <c:ser>
          <c:idx val="2"/>
          <c:order val="2"/>
          <c:tx>
            <c:strRef>
              <c:f>'Discretionary Spending'!$AB$3</c:f>
              <c:strCache>
                <c:ptCount val="1"/>
                <c:pt idx="0">
                  <c:v>Cash in Human Capital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Spending'!$AB$4:$AB$54</c:f>
              <c:numCache>
                <c:formatCode>0</c:formatCode>
                <c:ptCount val="51"/>
                <c:pt idx="0">
                  <c:v>951.81086699100433</c:v>
                </c:pt>
                <c:pt idx="1">
                  <c:v>1058.6662644934613</c:v>
                </c:pt>
                <c:pt idx="2">
                  <c:v>1160.9016400357059</c:v>
                </c:pt>
                <c:pt idx="3">
                  <c:v>1258.2894505803315</c:v>
                </c:pt>
                <c:pt idx="4">
                  <c:v>1350.5948993772136</c:v>
                </c:pt>
                <c:pt idx="5">
                  <c:v>1437.5757368322256</c:v>
                </c:pt>
                <c:pt idx="6">
                  <c:v>1518.9820563121739</c:v>
                </c:pt>
                <c:pt idx="7">
                  <c:v>1594.5560847630695</c:v>
                </c:pt>
                <c:pt idx="8">
                  <c:v>1664.0319680159664</c:v>
                </c:pt>
                <c:pt idx="9">
                  <c:v>1727.135550651562</c:v>
                </c:pt>
                <c:pt idx="10">
                  <c:v>1783.5841502918593</c:v>
                </c:pt>
                <c:pt idx="11">
                  <c:v>1833.0863261839941</c:v>
                </c:pt>
                <c:pt idx="12">
                  <c:v>1875.3416419381842</c:v>
                </c:pt>
                <c:pt idx="13">
                  <c:v>1910.040422278556</c:v>
                </c:pt>
                <c:pt idx="14">
                  <c:v>1936.8635036622518</c:v>
                </c:pt>
                <c:pt idx="15">
                  <c:v>1955.4819786188718</c:v>
                </c:pt>
                <c:pt idx="16">
                  <c:v>1965.5569336587776</c:v>
                </c:pt>
                <c:pt idx="17">
                  <c:v>1966.7391805953173</c:v>
                </c:pt>
                <c:pt idx="18">
                  <c:v>1958.6689811223439</c:v>
                </c:pt>
                <c:pt idx="19">
                  <c:v>1940.9757644846989</c:v>
                </c:pt>
                <c:pt idx="20">
                  <c:v>1913.277838075586</c:v>
                </c:pt>
                <c:pt idx="21">
                  <c:v>1875.1820907908</c:v>
                </c:pt>
                <c:pt idx="22">
                  <c:v>1826.2836889658806</c:v>
                </c:pt>
                <c:pt idx="23">
                  <c:v>1766.1657647181341</c:v>
                </c:pt>
                <c:pt idx="24">
                  <c:v>1694.3990965113774</c:v>
                </c:pt>
                <c:pt idx="25">
                  <c:v>1610.5417817569491</c:v>
                </c:pt>
                <c:pt idx="26">
                  <c:v>1514.1389012602272</c:v>
                </c:pt>
                <c:pt idx="27">
                  <c:v>1404.7221753174192</c:v>
                </c:pt>
                <c:pt idx="28">
                  <c:v>1281.8096112628818</c:v>
                </c:pt>
                <c:pt idx="29">
                  <c:v>1144.9051422625218</c:v>
                </c:pt>
                <c:pt idx="30">
                  <c:v>993.49825714412918</c:v>
                </c:pt>
                <c:pt idx="31">
                  <c:v>827.06362105058179</c:v>
                </c:pt>
                <c:pt idx="32">
                  <c:v>645.06068669692195</c:v>
                </c:pt>
                <c:pt idx="33">
                  <c:v>446.93329600718164</c:v>
                </c:pt>
                <c:pt idx="34">
                  <c:v>232.10927190165947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BD-6E41-B971-AA0F692C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+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Spending'!$AC$3</c:f>
              <c:strCache>
                <c:ptCount val="1"/>
                <c:pt idx="0">
                  <c:v>Bonds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Spending'!$AC$4:$AC$54</c:f>
              <c:numCache>
                <c:formatCode>0</c:formatCode>
                <c:ptCount val="51"/>
                <c:pt idx="0">
                  <c:v>1.4515258754839472E-3</c:v>
                </c:pt>
                <c:pt idx="1">
                  <c:v>1.4458267359038059E-3</c:v>
                </c:pt>
                <c:pt idx="2">
                  <c:v>1.4393190203902651E-3</c:v>
                </c:pt>
                <c:pt idx="3">
                  <c:v>1.4319726655618208E-3</c:v>
                </c:pt>
                <c:pt idx="4">
                  <c:v>1.4237567289320833E-3</c:v>
                </c:pt>
                <c:pt idx="5">
                  <c:v>1.4146393657709312E-3</c:v>
                </c:pt>
                <c:pt idx="6">
                  <c:v>1.4045878053917603E-3</c:v>
                </c:pt>
                <c:pt idx="7">
                  <c:v>1.3935683268511145E-3</c:v>
                </c:pt>
                <c:pt idx="8">
                  <c:v>1.3815462340466861E-3</c:v>
                </c:pt>
                <c:pt idx="9">
                  <c:v>1.3684858301993398E-3</c:v>
                </c:pt>
                <c:pt idx="10">
                  <c:v>1.3543503917044812E-3</c:v>
                </c:pt>
                <c:pt idx="11">
                  <c:v>1.3391021413377481E-3</c:v>
                </c:pt>
                <c:pt idx="12">
                  <c:v>1.3227022207996644E-3</c:v>
                </c:pt>
                <c:pt idx="13">
                  <c:v>1.3051106625835221E-3</c:v>
                </c:pt>
                <c:pt idx="14">
                  <c:v>1.2862863611504145E-3</c:v>
                </c:pt>
                <c:pt idx="15">
                  <c:v>1.2661870433949487E-3</c:v>
                </c:pt>
                <c:pt idx="16">
                  <c:v>1.2447692383848045E-3</c:v>
                </c:pt>
                <c:pt idx="17">
                  <c:v>1.2219882463568961E-3</c:v>
                </c:pt>
                <c:pt idx="18">
                  <c:v>1.1977981069525179E-3</c:v>
                </c:pt>
                <c:pt idx="19">
                  <c:v>1.1721515666734215E-3</c:v>
                </c:pt>
                <c:pt idx="20">
                  <c:v>1.1450000455403802E-3</c:v>
                </c:pt>
                <c:pt idx="21">
                  <c:v>1.1162936029353481E-3</c:v>
                </c:pt>
                <c:pt idx="22">
                  <c:v>1.0859809026078986E-3</c:v>
                </c:pt>
                <c:pt idx="23">
                  <c:v>1.0540091768261766E-3</c:v>
                </c:pt>
                <c:pt idx="24">
                  <c:v>1.0203241896521429E-3</c:v>
                </c:pt>
                <c:pt idx="25">
                  <c:v>9.8487019932041705E-4</c:v>
                </c:pt>
                <c:pt idx="26">
                  <c:v>9.4758991969956183E-4</c:v>
                </c:pt>
                <c:pt idx="27">
                  <c:v>9.0842448081414351E-4</c:v>
                </c:pt>
                <c:pt idx="28">
                  <c:v>8.6731338840542933E-4</c:v>
                </c:pt>
                <c:pt idx="29">
                  <c:v>8.2419448250804067E-4</c:v>
                </c:pt>
                <c:pt idx="30">
                  <c:v>7.7900389501939465E-4</c:v>
                </c:pt>
                <c:pt idx="31">
                  <c:v>7.3167600623819898E-4</c:v>
                </c:pt>
                <c:pt idx="32">
                  <c:v>6.8214340034774808E-4</c:v>
                </c:pt>
                <c:pt idx="33">
                  <c:v>6.3033681981918401E-4</c:v>
                </c:pt>
                <c:pt idx="34">
                  <c:v>5.7618511870933782E-4</c:v>
                </c:pt>
                <c:pt idx="35">
                  <c:v>5.1961521482717023E-4</c:v>
                </c:pt>
                <c:pt idx="36">
                  <c:v>4.6055204074223243E-4</c:v>
                </c:pt>
                <c:pt idx="37">
                  <c:v>4.0432389901337139E-4</c:v>
                </c:pt>
                <c:pt idx="38">
                  <c:v>3.5106781620446474E-4</c:v>
                </c:pt>
                <c:pt idx="39">
                  <c:v>3.0092516592900151E-4</c:v>
                </c:pt>
                <c:pt idx="40">
                  <c:v>2.5404178792144357E-4</c:v>
                </c:pt>
                <c:pt idx="41">
                  <c:v>2.1056811013261712E-4</c:v>
                </c:pt>
                <c:pt idx="42">
                  <c:v>1.7065927392247447E-4</c:v>
                </c:pt>
                <c:pt idx="43">
                  <c:v>1.3447526242527842E-4</c:v>
                </c:pt>
                <c:pt idx="44">
                  <c:v>1.0218103216403095E-4</c:v>
                </c:pt>
                <c:pt idx="45">
                  <c:v>7.3946647992768872E-5</c:v>
                </c:pt>
                <c:pt idx="46">
                  <c:v>4.994742144719612E-5</c:v>
                </c:pt>
                <c:pt idx="47">
                  <c:v>3.0364052586008738E-5</c:v>
                </c:pt>
                <c:pt idx="48">
                  <c:v>1.5382775407200403E-5</c:v>
                </c:pt>
                <c:pt idx="49">
                  <c:v>5.195506925610732E-6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0-F04C-A793-B28960471E04}"/>
            </c:ext>
          </c:extLst>
        </c:ser>
        <c:ser>
          <c:idx val="1"/>
          <c:order val="1"/>
          <c:tx>
            <c:strRef>
              <c:f>'Discretionary Spending'!$AD$3</c:f>
              <c:strCache>
                <c:ptCount val="1"/>
                <c:pt idx="0">
                  <c:v>Cash in Pension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Spending'!$AD$4:$AD$54</c:f>
              <c:numCache>
                <c:formatCode>0</c:formatCode>
                <c:ptCount val="51"/>
                <c:pt idx="0">
                  <c:v>-8.0902721932227001E-4</c:v>
                </c:pt>
                <c:pt idx="1">
                  <c:v>-7.9047810661889509E-4</c:v>
                </c:pt>
                <c:pt idx="2">
                  <c:v>-7.7086341851965621E-4</c:v>
                </c:pt>
                <c:pt idx="3">
                  <c:v>-7.5014795165379976E-4</c:v>
                </c:pt>
                <c:pt idx="4">
                  <c:v>-7.282955207459017E-4</c:v>
                </c:pt>
                <c:pt idx="5">
                  <c:v>-7.0526893342102602E-4</c:v>
                </c:pt>
                <c:pt idx="6">
                  <c:v>-6.8102996439485693E-4</c:v>
                </c:pt>
                <c:pt idx="7">
                  <c:v>-6.5553932903427326E-4</c:v>
                </c:pt>
                <c:pt idx="8">
                  <c:v>-6.2875665627350793E-4</c:v>
                </c:pt>
                <c:pt idx="9">
                  <c:v>-6.0064046087069821E-4</c:v>
                </c:pt>
                <c:pt idx="10">
                  <c:v>-5.7114811498926664E-4</c:v>
                </c:pt>
                <c:pt idx="11">
                  <c:v>-5.4023581908822945E-4</c:v>
                </c:pt>
                <c:pt idx="12">
                  <c:v>-5.0785857210515516E-4</c:v>
                </c:pt>
                <c:pt idx="13">
                  <c:v>-4.7397014091512277E-4</c:v>
                </c:pt>
                <c:pt idx="14">
                  <c:v>-4.3852302904864708E-4</c:v>
                </c:pt>
                <c:pt idx="15">
                  <c:v>-4.0146844465114608E-4</c:v>
                </c:pt>
                <c:pt idx="16">
                  <c:v>-3.6275626766612569E-4</c:v>
                </c:pt>
                <c:pt idx="17">
                  <c:v>-3.2233501622384365E-4</c:v>
                </c:pt>
                <c:pt idx="18">
                  <c:v>-2.8015181221680452E-4</c:v>
                </c:pt>
                <c:pt idx="19">
                  <c:v>-2.3615234604299385E-4</c:v>
                </c:pt>
                <c:pt idx="20">
                  <c:v>-1.9028084049734406E-4</c:v>
                </c:pt>
                <c:pt idx="21">
                  <c:v>-1.4248001379145122E-4</c:v>
                </c:pt>
                <c:pt idx="22">
                  <c:v>-9.2691041681123611E-5</c:v>
                </c:pt>
                <c:pt idx="23">
                  <c:v>-4.0853518680866469E-5</c:v>
                </c:pt>
                <c:pt idx="24">
                  <c:v>1.3094581656073519E-5</c:v>
                </c:pt>
                <c:pt idx="25">
                  <c:v>6.921694741396367E-5</c:v>
                </c:pt>
                <c:pt idx="26">
                  <c:v>1.2757896996950667E-4</c:v>
                </c:pt>
                <c:pt idx="27">
                  <c:v>1.8824778664830618E-4</c:v>
                </c:pt>
                <c:pt idx="28">
                  <c:v>2.5129232440626961E-4</c:v>
                </c:pt>
                <c:pt idx="29">
                  <c:v>3.1678334455989196E-4</c:v>
                </c:pt>
                <c:pt idx="30">
                  <c:v>3.8479348858989687E-4</c:v>
                </c:pt>
                <c:pt idx="31">
                  <c:v>4.5539732504327796E-4</c:v>
                </c:pt>
                <c:pt idx="32">
                  <c:v>5.2867139755935879E-4</c:v>
                </c:pt>
                <c:pt idx="33">
                  <c:v>6.0469427404606505E-4</c:v>
                </c:pt>
                <c:pt idx="34">
                  <c:v>6.835465970332162E-4</c:v>
                </c:pt>
                <c:pt idx="35">
                  <c:v>7.6531113523023474E-4</c:v>
                </c:pt>
                <c:pt idx="36">
                  <c:v>7.500728363163203E-4</c:v>
                </c:pt>
                <c:pt idx="37">
                  <c:v>7.3051347558635276E-4</c:v>
                </c:pt>
                <c:pt idx="38">
                  <c:v>7.0646630588725389E-4</c:v>
                </c:pt>
                <c:pt idx="39">
                  <c:v>6.7775963860455097E-4</c:v>
                </c:pt>
                <c:pt idx="40">
                  <c:v>6.4421671270278023E-4</c:v>
                </c:pt>
                <c:pt idx="41">
                  <c:v>6.0565556050409114E-4</c:v>
                </c:pt>
                <c:pt idx="42">
                  <c:v>5.6188887012696784E-4</c:v>
                </c:pt>
                <c:pt idx="43">
                  <c:v>5.1272384450515263E-4</c:v>
                </c:pt>
                <c:pt idx="44">
                  <c:v>4.5796205690500888E-4</c:v>
                </c:pt>
                <c:pt idx="45">
                  <c:v>3.9739930285765171E-4</c:v>
                </c:pt>
                <c:pt idx="46">
                  <c:v>3.3082544842023289E-4</c:v>
                </c:pt>
                <c:pt idx="47">
                  <c:v>2.580242746787687E-4</c:v>
                </c:pt>
                <c:pt idx="48">
                  <c:v>1.7877331840287263E-4</c:v>
                </c:pt>
                <c:pt idx="49">
                  <c:v>9.2843708760663785E-5</c:v>
                </c:pt>
                <c:pt idx="50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40-F04C-A793-B28960471E04}"/>
            </c:ext>
          </c:extLst>
        </c:ser>
        <c:ser>
          <c:idx val="2"/>
          <c:order val="2"/>
          <c:tx>
            <c:strRef>
              <c:f>'Discretionary Spending'!$AE$3</c:f>
              <c:strCache>
                <c:ptCount val="1"/>
                <c:pt idx="0">
                  <c:v>Bonds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Spending'!$AE$4:$AE$54</c:f>
              <c:numCache>
                <c:formatCode>General</c:formatCode>
                <c:ptCount val="51"/>
                <c:pt idx="0">
                  <c:v>-3570.6634618910589</c:v>
                </c:pt>
                <c:pt idx="1">
                  <c:v>-3472.2194019740055</c:v>
                </c:pt>
                <c:pt idx="2">
                  <c:v>-3373.8147196809182</c:v>
                </c:pt>
                <c:pt idx="3">
                  <c:v>-3275.4903677407228</c:v>
                </c:pt>
                <c:pt idx="4">
                  <c:v>-3177.288921240453</c:v>
                </c:pt>
                <c:pt idx="5">
                  <c:v>-3079.2546261384814</c:v>
                </c:pt>
                <c:pt idx="6">
                  <c:v>-2981.4334490693409</c:v>
                </c:pt>
                <c:pt idx="7">
                  <c:v>-2883.873128472384</c:v>
                </c:pt>
                <c:pt idx="8">
                  <c:v>-2786.6232270773271</c:v>
                </c:pt>
                <c:pt idx="9">
                  <c:v>-2689.7351857804838</c:v>
                </c:pt>
                <c:pt idx="10">
                  <c:v>-2593.2623789463419</c:v>
                </c:pt>
                <c:pt idx="11">
                  <c:v>-2497.2601711699263</c:v>
                </c:pt>
                <c:pt idx="12">
                  <c:v>-2401.7859755362829</c:v>
                </c:pt>
                <c:pt idx="13">
                  <c:v>-2306.8993134142297</c:v>
                </c:pt>
                <c:pt idx="14">
                  <c:v>-2212.6618758224859</c:v>
                </c:pt>
                <c:pt idx="15">
                  <c:v>-2119.137586407111</c:v>
                </c:pt>
                <c:pt idx="16">
                  <c:v>-2026.3926660701993</c:v>
                </c:pt>
                <c:pt idx="17">
                  <c:v>-1934.495699290653</c:v>
                </c:pt>
                <c:pt idx="18">
                  <c:v>-1843.5177021789016</c:v>
                </c:pt>
                <c:pt idx="19">
                  <c:v>-1753.53219230837</c:v>
                </c:pt>
                <c:pt idx="20">
                  <c:v>-1664.6152603675505</c:v>
                </c:pt>
                <c:pt idx="21">
                  <c:v>-1576.8456436775803</c:v>
                </c:pt>
                <c:pt idx="22">
                  <c:v>-1490.3048016212699</c:v>
                </c:pt>
                <c:pt idx="23">
                  <c:v>-1405.076993030641</c:v>
                </c:pt>
                <c:pt idx="24">
                  <c:v>-1321.2493555811443</c:v>
                </c:pt>
                <c:pt idx="25">
                  <c:v>-1238.9119872418605</c:v>
                </c:pt>
                <c:pt idx="26">
                  <c:v>-1158.158029832179</c:v>
                </c:pt>
                <c:pt idx="27">
                  <c:v>-1079.0837547366179</c:v>
                </c:pt>
                <c:pt idx="28">
                  <c:v>-1001.7886508307078</c:v>
                </c:pt>
                <c:pt idx="29">
                  <c:v>-926.37551467207174</c:v>
                </c:pt>
                <c:pt idx="30">
                  <c:v>-852.95054301216362</c:v>
                </c:pt>
                <c:pt idx="31">
                  <c:v>-781.62342768539497</c:v>
                </c:pt>
                <c:pt idx="32">
                  <c:v>-712.50745293375689</c:v>
                </c:pt>
                <c:pt idx="33">
                  <c:v>-645.7195952263844</c:v>
                </c:pt>
                <c:pt idx="34">
                  <c:v>-581.38062563494839</c:v>
                </c:pt>
                <c:pt idx="35">
                  <c:v>-519.61521482717023</c:v>
                </c:pt>
                <c:pt idx="36">
                  <c:v>-460.55204074223218</c:v>
                </c:pt>
                <c:pt idx="37">
                  <c:v>-404.32389901337143</c:v>
                </c:pt>
                <c:pt idx="38">
                  <c:v>-351.06781620446463</c:v>
                </c:pt>
                <c:pt idx="39">
                  <c:v>-300.92516592900148</c:v>
                </c:pt>
                <c:pt idx="40">
                  <c:v>-254.04178792144359</c:v>
                </c:pt>
                <c:pt idx="41">
                  <c:v>-210.56811013261711</c:v>
                </c:pt>
                <c:pt idx="42">
                  <c:v>-170.65927392247451</c:v>
                </c:pt>
                <c:pt idx="43">
                  <c:v>-134.4752624252784</c:v>
                </c:pt>
                <c:pt idx="44">
                  <c:v>-102.18103216403095</c:v>
                </c:pt>
                <c:pt idx="45">
                  <c:v>-73.94664799276886</c:v>
                </c:pt>
                <c:pt idx="46">
                  <c:v>-49.94742144719612</c:v>
                </c:pt>
                <c:pt idx="47">
                  <c:v>-30.364052586008739</c:v>
                </c:pt>
                <c:pt idx="48">
                  <c:v>-15.382775407200402</c:v>
                </c:pt>
                <c:pt idx="49">
                  <c:v>-5.195506925610732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40-F04C-A793-B28960471E04}"/>
            </c:ext>
          </c:extLst>
        </c:ser>
        <c:ser>
          <c:idx val="3"/>
          <c:order val="3"/>
          <c:tx>
            <c:strRef>
              <c:f>'Discretionary Spending'!$AF$3</c:f>
              <c:strCache>
                <c:ptCount val="1"/>
                <c:pt idx="0">
                  <c:v>Cash in Expenses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Spending'!$AF$4:$AF$54</c:f>
              <c:numCache>
                <c:formatCode>0</c:formatCode>
                <c:ptCount val="51"/>
                <c:pt idx="0">
                  <c:v>428.30287252586822</c:v>
                </c:pt>
                <c:pt idx="1">
                  <c:v>367.01160082151091</c:v>
                </c:pt>
                <c:pt idx="2">
                  <c:v>306.50276250537308</c:v>
                </c:pt>
                <c:pt idx="3">
                  <c:v>246.83217142166768</c:v>
                </c:pt>
                <c:pt idx="4">
                  <c:v>188.05756099501559</c:v>
                </c:pt>
                <c:pt idx="5">
                  <c:v>130.23863868813623</c:v>
                </c:pt>
                <c:pt idx="6">
                  <c:v>73.437141869987954</c:v>
                </c:pt>
                <c:pt idx="7">
                  <c:v>17.716895129044588</c:v>
                </c:pt>
                <c:pt idx="8">
                  <c:v>-36.856130932878386</c:v>
                </c:pt>
                <c:pt idx="9">
                  <c:v>-90.213759389926508</c:v>
                </c:pt>
                <c:pt idx="10">
                  <c:v>-142.28554512747633</c:v>
                </c:pt>
                <c:pt idx="11">
                  <c:v>-192.99871138536855</c:v>
                </c:pt>
                <c:pt idx="12">
                  <c:v>-242.27808467011801</c:v>
                </c:pt>
                <c:pt idx="13">
                  <c:v>-290.04602799629902</c:v>
                </c:pt>
                <c:pt idx="14">
                  <c:v>-336.22237241625317</c:v>
                </c:pt>
                <c:pt idx="15">
                  <c:v>-380.72434679640264</c:v>
                </c:pt>
                <c:pt idx="16">
                  <c:v>-423.46650579738503</c:v>
                </c:pt>
                <c:pt idx="17">
                  <c:v>-464.36065601428322</c:v>
                </c:pt>
                <c:pt idx="18">
                  <c:v>-503.31578023213319</c:v>
                </c:pt>
                <c:pt idx="19">
                  <c:v>-540.23795975088501</c:v>
                </c:pt>
                <c:pt idx="20">
                  <c:v>-575.03029473288962</c:v>
                </c:pt>
                <c:pt idx="21">
                  <c:v>-607.59282252486923</c:v>
                </c:pt>
                <c:pt idx="22">
                  <c:v>-637.82243390522876</c:v>
                </c:pt>
                <c:pt idx="23">
                  <c:v>-665.61278720638711</c:v>
                </c:pt>
                <c:pt idx="24">
                  <c:v>-690.85422026062452</c:v>
                </c:pt>
                <c:pt idx="25">
                  <c:v>-713.43366011674311</c:v>
                </c:pt>
                <c:pt idx="26">
                  <c:v>-733.23453047359726</c:v>
                </c:pt>
                <c:pt idx="27">
                  <c:v>-750.13665677527365</c:v>
                </c:pt>
                <c:pt idx="28">
                  <c:v>-764.01616891142214</c:v>
                </c:pt>
                <c:pt idx="29">
                  <c:v>-774.74540146490051</c:v>
                </c:pt>
                <c:pt idx="30">
                  <c:v>-782.1927914475483</c:v>
                </c:pt>
                <c:pt idx="31">
                  <c:v>-786.22277346351075</c:v>
                </c:pt>
                <c:pt idx="32">
                  <c:v>-786.69567223812737</c:v>
                </c:pt>
                <c:pt idx="33">
                  <c:v>-783.46759244893769</c:v>
                </c:pt>
                <c:pt idx="34">
                  <c:v>-776.39030579387997</c:v>
                </c:pt>
                <c:pt idx="35">
                  <c:v>-765.31113523023453</c:v>
                </c:pt>
                <c:pt idx="36">
                  <c:v>-750.0728363163206</c:v>
                </c:pt>
                <c:pt idx="37">
                  <c:v>-730.51347558635257</c:v>
                </c:pt>
                <c:pt idx="38">
                  <c:v>-706.46630588725407</c:v>
                </c:pt>
                <c:pt idx="39">
                  <c:v>-677.7596386045509</c:v>
                </c:pt>
                <c:pt idx="40">
                  <c:v>-644.21671270278011</c:v>
                </c:pt>
                <c:pt idx="41">
                  <c:v>-605.65556050409089</c:v>
                </c:pt>
                <c:pt idx="42">
                  <c:v>-561.88887012696773</c:v>
                </c:pt>
                <c:pt idx="43">
                  <c:v>-512.72384450515267</c:v>
                </c:pt>
                <c:pt idx="44">
                  <c:v>-457.96205690500881</c:v>
                </c:pt>
                <c:pt idx="45">
                  <c:v>-397.39930285765161</c:v>
                </c:pt>
                <c:pt idx="46">
                  <c:v>-330.82544842023287</c:v>
                </c:pt>
                <c:pt idx="47">
                  <c:v>-258.02427467876873</c:v>
                </c:pt>
                <c:pt idx="48">
                  <c:v>-178.77331840287263</c:v>
                </c:pt>
                <c:pt idx="49">
                  <c:v>-92.843708760663787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40-F04C-A793-B28960471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Spending'!$AM$4:$AM$54</c:f>
              <c:numCache>
                <c:formatCode>General</c:formatCode>
                <c:ptCount val="51"/>
                <c:pt idx="0">
                  <c:v>1979.8116581125</c:v>
                </c:pt>
                <c:pt idx="1">
                  <c:v>1942.3261663826634</c:v>
                </c:pt>
                <c:pt idx="2">
                  <c:v>1905.9767777787201</c:v>
                </c:pt>
                <c:pt idx="3">
                  <c:v>1870.7939915955294</c:v>
                </c:pt>
                <c:pt idx="4">
                  <c:v>1836.8089491877258</c:v>
                </c:pt>
                <c:pt idx="5">
                  <c:v>1804.0534469431975</c:v>
                </c:pt>
                <c:pt idx="6">
                  <c:v>1772.5599495165636</c:v>
                </c:pt>
                <c:pt idx="7">
                  <c:v>1742.3616033278856</c:v>
                </c:pt>
                <c:pt idx="8">
                  <c:v>1713.4922503318903</c:v>
                </c:pt>
                <c:pt idx="9">
                  <c:v>1685.986442063135</c:v>
                </c:pt>
                <c:pt idx="10">
                  <c:v>1659.8794539626258</c:v>
                </c:pt>
                <c:pt idx="11">
                  <c:v>1635.2072999915326</c:v>
                </c:pt>
                <c:pt idx="12">
                  <c:v>1612.0067475377352</c:v>
                </c:pt>
                <c:pt idx="13">
                  <c:v>1590.3153326210536</c:v>
                </c:pt>
                <c:pt idx="14">
                  <c:v>1570.1713754031591</c:v>
                </c:pt>
                <c:pt idx="15">
                  <c:v>1551.6139960082412</c:v>
                </c:pt>
                <c:pt idx="16">
                  <c:v>1534.6831306606605</c:v>
                </c:pt>
                <c:pt idx="17">
                  <c:v>1519.4195481459215</c:v>
                </c:pt>
                <c:pt idx="18">
                  <c:v>1505.864866601444</c:v>
                </c:pt>
                <c:pt idx="19">
                  <c:v>1494.0615706437179</c:v>
                </c:pt>
                <c:pt idx="20">
                  <c:v>1484.0530288385846</c:v>
                </c:pt>
                <c:pt idx="21">
                  <c:v>1475.8835115215029</c:v>
                </c:pt>
                <c:pt idx="22">
                  <c:v>1469.6375738378676</c:v>
                </c:pt>
                <c:pt idx="23">
                  <c:v>1465.0932072859723</c:v>
                </c:pt>
                <c:pt idx="24">
                  <c:v>1461.9633620260429</c:v>
                </c:pt>
                <c:pt idx="25">
                  <c:v>1460.0043141834897</c:v>
                </c:pt>
                <c:pt idx="26">
                  <c:v>1459.0087151285354</c:v>
                </c:pt>
                <c:pt idx="27">
                  <c:v>1458.7994525275267</c:v>
                </c:pt>
                <c:pt idx="28">
                  <c:v>1459.2244146937583</c:v>
                </c:pt>
                <c:pt idx="29">
                  <c:v>1460.199006319443</c:v>
                </c:pt>
                <c:pt idx="30">
                  <c:v>1461.8953795181351</c:v>
                </c:pt>
                <c:pt idx="31">
                  <c:v>1464.2611186318913</c:v>
                </c:pt>
                <c:pt idx="32">
                  <c:v>1467.2420032144082</c:v>
                </c:pt>
                <c:pt idx="33">
                  <c:v>1470.7805856860193</c:v>
                </c:pt>
                <c:pt idx="34">
                  <c:v>1474.8149283132047</c:v>
                </c:pt>
                <c:pt idx="35">
                  <c:v>1479.2774591930563</c:v>
                </c:pt>
                <c:pt idx="36">
                  <c:v>1484.0939148009247</c:v>
                </c:pt>
                <c:pt idx="37">
                  <c:v>1488.6644712306975</c:v>
                </c:pt>
                <c:pt idx="38">
                  <c:v>1492.9750059194537</c:v>
                </c:pt>
                <c:pt idx="39">
                  <c:v>1497.012572957336</c:v>
                </c:pt>
                <c:pt idx="40">
                  <c:v>1500.7653675296383</c:v>
                </c:pt>
                <c:pt idx="41">
                  <c:v>1504.2226628873382</c:v>
                </c:pt>
                <c:pt idx="42">
                  <c:v>1507.3747132052454</c:v>
                </c:pt>
                <c:pt idx="43">
                  <c:v>1510.2126139045399</c:v>
                </c:pt>
                <c:pt idx="44">
                  <c:v>1512.7281086933222</c:v>
                </c:pt>
                <c:pt idx="45">
                  <c:v>1514.9133295243228</c:v>
                </c:pt>
                <c:pt idx="46">
                  <c:v>1516.7604516131998</c:v>
                </c:pt>
                <c:pt idx="47">
                  <c:v>1518.2612402167347</c:v>
                </c:pt>
                <c:pt idx="48">
                  <c:v>1519.4064584729683</c:v>
                </c:pt>
                <c:pt idx="49">
                  <c:v>1520.1850954175197</c:v>
                </c:pt>
                <c:pt idx="50">
                  <c:v>1458.8550257132792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0-4E4E-88A6-68A2084754AB}"/>
            </c:ext>
          </c:extLst>
        </c:ser>
        <c:ser>
          <c:idx val="1"/>
          <c:order val="1"/>
          <c:tx>
            <c:strRef>
              <c:f>'Discretionary Spending'!$AN$3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Spending'!$AN$4:$AN$54</c:f>
              <c:numCache>
                <c:formatCode>0</c:formatCode>
                <c:ptCount val="51"/>
                <c:pt idx="0">
                  <c:v>-1232.2290411244717</c:v>
                </c:pt>
                <c:pt idx="1">
                  <c:v>-1108.1821674325638</c:v>
                </c:pt>
                <c:pt idx="2">
                  <c:v>-985.93177342005538</c:v>
                </c:pt>
                <c:pt idx="3">
                  <c:v>-865.60682178031379</c:v>
                </c:pt>
                <c:pt idx="4">
                  <c:v>-747.34074599026951</c:v>
                </c:pt>
                <c:pt idx="5">
                  <c:v>-631.27157768396069</c:v>
                </c:pt>
                <c:pt idx="6">
                  <c:v>-517.54207733327371</c:v>
                </c:pt>
                <c:pt idx="7">
                  <c:v>-406.29986831714706</c:v>
                </c:pt>
                <c:pt idx="8">
                  <c:v>-297.69757446253698</c:v>
                </c:pt>
                <c:pt idx="9">
                  <c:v>-191.89296114242319</c:v>
                </c:pt>
                <c:pt idx="10">
                  <c:v>-89.049080018045345</c:v>
                </c:pt>
                <c:pt idx="11">
                  <c:v>10.665582485221421</c:v>
                </c:pt>
                <c:pt idx="12">
                  <c:v>107.07695287695032</c:v>
                </c:pt>
                <c:pt idx="13">
                  <c:v>200.00521438206158</c:v>
                </c:pt>
                <c:pt idx="14">
                  <c:v>289.26464670673482</c:v>
                </c:pt>
                <c:pt idx="15">
                  <c:v>374.66346169172022</c:v>
                </c:pt>
                <c:pt idx="16">
                  <c:v>456.00363475263805</c:v>
                </c:pt>
                <c:pt idx="17">
                  <c:v>533.08073200449428</c:v>
                </c:pt>
                <c:pt idx="18">
                  <c:v>605.6837329651953</c:v>
                </c:pt>
                <c:pt idx="19">
                  <c:v>673.5948487303616</c:v>
                </c:pt>
                <c:pt idx="20">
                  <c:v>736.58933550922575</c:v>
                </c:pt>
                <c:pt idx="21">
                  <c:v>794.43530340877203</c:v>
                </c:pt>
                <c:pt idx="22">
                  <c:v>846.90336156640547</c:v>
                </c:pt>
                <c:pt idx="23">
                  <c:v>893.67970033179574</c:v>
                </c:pt>
                <c:pt idx="24">
                  <c:v>934.42626094096124</c:v>
                </c:pt>
                <c:pt idx="25">
                  <c:v>968.80761111392485</c:v>
                </c:pt>
                <c:pt idx="26">
                  <c:v>996.48898569285029</c:v>
                </c:pt>
                <c:pt idx="27">
                  <c:v>1017.1345246378327</c:v>
                </c:pt>
                <c:pt idx="28">
                  <c:v>1030.4057311275628</c:v>
                </c:pt>
                <c:pt idx="29">
                  <c:v>1035.9718616473726</c:v>
                </c:pt>
                <c:pt idx="30">
                  <c:v>1033.5569889058802</c:v>
                </c:pt>
                <c:pt idx="31">
                  <c:v>1022.8194220493713</c:v>
                </c:pt>
                <c:pt idx="32">
                  <c:v>1003.4071401289367</c:v>
                </c:pt>
                <c:pt idx="33">
                  <c:v>974.95717279306837</c:v>
                </c:pt>
                <c:pt idx="34">
                  <c:v>937.09501421410403</c:v>
                </c:pt>
                <c:pt idx="35">
                  <c:v>889.43406001021958</c:v>
                </c:pt>
                <c:pt idx="36">
                  <c:v>831.57505889042261</c:v>
                </c:pt>
                <c:pt idx="37">
                  <c:v>776.48961249714671</c:v>
                </c:pt>
                <c:pt idx="38">
                  <c:v>724.31121661651184</c:v>
                </c:pt>
                <c:pt idx="39">
                  <c:v>675.17800824316964</c:v>
                </c:pt>
                <c:pt idx="40">
                  <c:v>629.23287576206531</c:v>
                </c:pt>
                <c:pt idx="41">
                  <c:v>586.62356528634155</c:v>
                </c:pt>
                <c:pt idx="42">
                  <c:v>547.50278156451191</c:v>
                </c:pt>
                <c:pt idx="43">
                  <c:v>512.0282814261509</c:v>
                </c:pt>
                <c:pt idx="44">
                  <c:v>480.36295715632934</c:v>
                </c:pt>
                <c:pt idx="45">
                  <c:v>452.67490642720156</c:v>
                </c:pt>
                <c:pt idx="46">
                  <c:v>429.13748440307461</c:v>
                </c:pt>
                <c:pt idx="47">
                  <c:v>409.9293322761398</c:v>
                </c:pt>
                <c:pt idx="48">
                  <c:v>395.23437464266709</c:v>
                </c:pt>
                <c:pt idx="49">
                  <c:v>385.24177558448372</c:v>
                </c:pt>
                <c:pt idx="50">
                  <c:v>364.71375642831981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10-4E4E-88A6-68A2084754AB}"/>
            </c:ext>
          </c:extLst>
        </c:ser>
        <c:ser>
          <c:idx val="2"/>
          <c:order val="2"/>
          <c:tx>
            <c:strRef>
              <c:f>'Discretionary Spending'!$AO$3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Spending'!$AO$4:$AO$54</c:f>
              <c:numCache>
                <c:formatCode>0</c:formatCode>
                <c:ptCount val="51"/>
                <c:pt idx="0">
                  <c:v>-647.58261698802869</c:v>
                </c:pt>
                <c:pt idx="1">
                  <c:v>-707.01639327528051</c:v>
                </c:pt>
                <c:pt idx="2">
                  <c:v>-762.19222389953438</c:v>
                </c:pt>
                <c:pt idx="3">
                  <c:v>-812.92709496370185</c:v>
                </c:pt>
                <c:pt idx="4">
                  <c:v>-859.03242087725005</c:v>
                </c:pt>
                <c:pt idx="5">
                  <c:v>-900.31389488244577</c:v>
                </c:pt>
                <c:pt idx="6">
                  <c:v>-936.57133583106929</c:v>
                </c:pt>
                <c:pt idx="7">
                  <c:v>-967.59853112146789</c:v>
                </c:pt>
                <c:pt idx="8">
                  <c:v>-993.18307570363277</c:v>
                </c:pt>
                <c:pt idx="9">
                  <c:v>-1013.106207057815</c:v>
                </c:pt>
                <c:pt idx="10">
                  <c:v>-1027.1426360500968</c:v>
                </c:pt>
                <c:pt idx="11">
                  <c:v>-1035.0603735659399</c:v>
                </c:pt>
                <c:pt idx="12">
                  <c:v>-1036.6205528205326</c:v>
                </c:pt>
                <c:pt idx="13">
                  <c:v>-1031.5772472423268</c:v>
                </c:pt>
                <c:pt idx="14">
                  <c:v>-1019.677283823801</c:v>
                </c:pt>
                <c:pt idx="15">
                  <c:v>-1000.6600518309756</c:v>
                </c:pt>
                <c:pt idx="16">
                  <c:v>-974.25730676068054</c:v>
                </c:pt>
                <c:pt idx="17">
                  <c:v>-940.1929694320271</c:v>
                </c:pt>
                <c:pt idx="18">
                  <c:v>-898.18292009586457</c:v>
                </c:pt>
                <c:pt idx="19">
                  <c:v>-847.93478744329229</c:v>
                </c:pt>
                <c:pt idx="20">
                  <c:v>-789.14773239157967</c:v>
                </c:pt>
                <c:pt idx="21">
                  <c:v>-721.51222652296121</c:v>
                </c:pt>
                <c:pt idx="22">
                  <c:v>-644.69526004959926</c:v>
                </c:pt>
                <c:pt idx="23">
                  <c:v>-558.46844996241862</c:v>
                </c:pt>
                <c:pt idx="24">
                  <c:v>-462.61844539569893</c:v>
                </c:pt>
                <c:pt idx="25">
                  <c:v>-356.90659460926258</c:v>
                </c:pt>
                <c:pt idx="26">
                  <c:v>-241.07127376804215</c:v>
                </c:pt>
                <c:pt idx="27">
                  <c:v>-114.82990935474754</c:v>
                </c:pt>
                <c:pt idx="28">
                  <c:v>22.119339792906203</c:v>
                </c:pt>
                <c:pt idx="29">
                  <c:v>170.11357475722764</c:v>
                </c:pt>
                <c:pt idx="30">
                  <c:v>329.59543993164027</c:v>
                </c:pt>
                <c:pt idx="31">
                  <c:v>500.9353109094036</c:v>
                </c:pt>
                <c:pt idx="32">
                  <c:v>684.51399805913877</c:v>
                </c:pt>
                <c:pt idx="33">
                  <c:v>880.72250845130861</c:v>
                </c:pt>
                <c:pt idx="34">
                  <c:v>1089.961873821509</c:v>
                </c:pt>
                <c:pt idx="35">
                  <c:v>1312.6430298205296</c:v>
                </c:pt>
                <c:pt idx="36">
                  <c:v>1299.186834719826</c:v>
                </c:pt>
                <c:pt idx="37">
                  <c:v>1281.3185994282348</c:v>
                </c:pt>
                <c:pt idx="38">
                  <c:v>1258.8663516111455</c:v>
                </c:pt>
                <c:pt idx="39">
                  <c:v>1231.6536128391263</c:v>
                </c:pt>
                <c:pt idx="40">
                  <c:v>1199.4992544720333</c:v>
                </c:pt>
                <c:pt idx="41">
                  <c:v>1162.217340116845</c:v>
                </c:pt>
                <c:pt idx="42">
                  <c:v>1119.6169521240381</c:v>
                </c:pt>
                <c:pt idx="43">
                  <c:v>1071.5019989259877</c:v>
                </c:pt>
                <c:pt idx="44">
                  <c:v>1017.6709991594809</c:v>
                </c:pt>
                <c:pt idx="45">
                  <c:v>957.91683738234792</c:v>
                </c:pt>
                <c:pt idx="46">
                  <c:v>892.0264846916682</c:v>
                </c:pt>
                <c:pt idx="47">
                  <c:v>819.78067553468543</c:v>
                </c:pt>
                <c:pt idx="48">
                  <c:v>740.95352926455212</c:v>
                </c:pt>
                <c:pt idx="49">
                  <c:v>655.31210122143716</c:v>
                </c:pt>
                <c:pt idx="50">
                  <c:v>639.77625951391315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10-4E4E-88A6-68A20847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Portfolio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Spending'!$AV$3</c:f>
              <c:strCache>
                <c:ptCount val="1"/>
                <c:pt idx="0">
                  <c:v>Stock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Spending'!$AV$4:$AV$54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0.95291660209116225</c:v>
                </c:pt>
                <c:pt idx="22">
                  <c:v>0.87905097671535493</c:v>
                </c:pt>
                <c:pt idx="23">
                  <c:v>0.81380302151451434</c:v>
                </c:pt>
                <c:pt idx="24">
                  <c:v>0.75601672989157742</c:v>
                </c:pt>
                <c:pt idx="25">
                  <c:v>0.70466748290018222</c:v>
                </c:pt>
                <c:pt idx="26">
                  <c:v>0.65886529229602131</c:v>
                </c:pt>
                <c:pt idx="27">
                  <c:v>0.61784631707497417</c:v>
                </c:pt>
                <c:pt idx="28">
                  <c:v>0.58095937634358363</c:v>
                </c:pt>
                <c:pt idx="29">
                  <c:v>0.54765312467097949</c:v>
                </c:pt>
                <c:pt idx="30">
                  <c:v>0.51747633268162085</c:v>
                </c:pt>
                <c:pt idx="31">
                  <c:v>0.49004462872992927</c:v>
                </c:pt>
                <c:pt idx="32">
                  <c:v>0.46502888676691778</c:v>
                </c:pt>
                <c:pt idx="33">
                  <c:v>0.44214584503161136</c:v>
                </c:pt>
                <c:pt idx="34">
                  <c:v>0.42115046057022781</c:v>
                </c:pt>
                <c:pt idx="35">
                  <c:v>0.40182966337358628</c:v>
                </c:pt>
                <c:pt idx="36">
                  <c:v>0.41055411154925819</c:v>
                </c:pt>
                <c:pt idx="37">
                  <c:v>0.41975918165141601</c:v>
                </c:pt>
                <c:pt idx="38">
                  <c:v>0.42949064348412885</c:v>
                </c:pt>
                <c:pt idx="39">
                  <c:v>0.4398005571402796</c:v>
                </c:pt>
                <c:pt idx="40">
                  <c:v>0.45074830917807573</c:v>
                </c:pt>
                <c:pt idx="41">
                  <c:v>0.46240186559828061</c:v>
                </c:pt>
                <c:pt idx="42">
                  <c:v>0.47483929753923282</c:v>
                </c:pt>
                <c:pt idx="43">
                  <c:v>0.48815065295443461</c:v>
                </c:pt>
                <c:pt idx="44">
                  <c:v>0.50244027127687818</c:v>
                </c:pt>
                <c:pt idx="45">
                  <c:v>0.5178296709627459</c:v>
                </c:pt>
                <c:pt idx="46">
                  <c:v>0.53446118598000991</c:v>
                </c:pt>
                <c:pt idx="47">
                  <c:v>0.55250259306989224</c:v>
                </c:pt>
                <c:pt idx="48">
                  <c:v>0.57215306674741417</c:v>
                </c:pt>
                <c:pt idx="49">
                  <c:v>0.59365093900905175</c:v>
                </c:pt>
                <c:pt idx="50">
                  <c:v>0.59222520639367815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E-3B42-9B14-15338DDA05D0}"/>
            </c:ext>
          </c:extLst>
        </c:ser>
        <c:ser>
          <c:idx val="1"/>
          <c:order val="1"/>
          <c:tx>
            <c:strRef>
              <c:f>'Discretionary Spending'!$AW$3</c:f>
              <c:strCache>
                <c:ptCount val="1"/>
                <c:pt idx="0">
                  <c:v>Bond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Spending'!$AW$4:$AW$54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4.7083397908837595E-2</c:v>
                </c:pt>
                <c:pt idx="22">
                  <c:v>0.12094902328464548</c:v>
                </c:pt>
                <c:pt idx="23">
                  <c:v>0.18619697848548572</c:v>
                </c:pt>
                <c:pt idx="24">
                  <c:v>0.24398327010842266</c:v>
                </c:pt>
                <c:pt idx="25">
                  <c:v>0.29533251709981778</c:v>
                </c:pt>
                <c:pt idx="26">
                  <c:v>0.34113470770397863</c:v>
                </c:pt>
                <c:pt idx="27">
                  <c:v>0.38215368292502577</c:v>
                </c:pt>
                <c:pt idx="28">
                  <c:v>0.41023427576241178</c:v>
                </c:pt>
                <c:pt idx="29">
                  <c:v>0.38854513983847844</c:v>
                </c:pt>
                <c:pt idx="30">
                  <c:v>0.36585468955566858</c:v>
                </c:pt>
                <c:pt idx="31">
                  <c:v>0.34230722755532733</c:v>
                </c:pt>
                <c:pt idx="32">
                  <c:v>0.31802068392663774</c:v>
                </c:pt>
                <c:pt idx="33">
                  <c:v>0.29309148300536991</c:v>
                </c:pt>
                <c:pt idx="34">
                  <c:v>0.26759831980119547</c:v>
                </c:pt>
                <c:pt idx="35">
                  <c:v>0.24160510707833699</c:v>
                </c:pt>
                <c:pt idx="36">
                  <c:v>0.23004377019838096</c:v>
                </c:pt>
                <c:pt idx="37">
                  <c:v>0.21894701633684446</c:v>
                </c:pt>
                <c:pt idx="38">
                  <c:v>0.20836577255077038</c:v>
                </c:pt>
                <c:pt idx="39">
                  <c:v>0.19835749515957674</c:v>
                </c:pt>
                <c:pt idx="40">
                  <c:v>0.18898734003695475</c:v>
                </c:pt>
                <c:pt idx="41">
                  <c:v>0.18032957333035166</c:v>
                </c:pt>
                <c:pt idx="42">
                  <c:v>0.17246928313270063</c:v>
                </c:pt>
                <c:pt idx="43">
                  <c:v>0.16550447109767794</c:v>
                </c:pt>
                <c:pt idx="44">
                  <c:v>0.15954862814935605</c:v>
                </c:pt>
                <c:pt idx="45">
                  <c:v>0.15473393314315412</c:v>
                </c:pt>
                <c:pt idx="46">
                  <c:v>0.15121526185536077</c:v>
                </c:pt>
                <c:pt idx="47">
                  <c:v>0.14917526250333918</c:v>
                </c:pt>
                <c:pt idx="48">
                  <c:v>0.1488308531760934</c:v>
                </c:pt>
                <c:pt idx="49">
                  <c:v>0.1504416419491541</c:v>
                </c:pt>
                <c:pt idx="50">
                  <c:v>0.14805630159841954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E-3B42-9B14-15338DDA05D0}"/>
            </c:ext>
          </c:extLst>
        </c:ser>
        <c:ser>
          <c:idx val="2"/>
          <c:order val="2"/>
          <c:tx>
            <c:strRef>
              <c:f>'Discretionary Spending'!$AX$3</c:f>
              <c:strCache>
                <c:ptCount val="1"/>
                <c:pt idx="0">
                  <c:v>Cash Weight -- No Short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Spending'!$AX$4:$AX$54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1.4680572586990832E-16</c:v>
                </c:pt>
                <c:pt idx="22">
                  <c:v>-4.0800477961878139E-16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8.8063478940045951E-3</c:v>
                </c:pt>
                <c:pt idx="29">
                  <c:v>6.3801735490542286E-2</c:v>
                </c:pt>
                <c:pt idx="30">
                  <c:v>0.11666897776271055</c:v>
                </c:pt>
                <c:pt idx="31">
                  <c:v>0.16764814371474357</c:v>
                </c:pt>
                <c:pt idx="32">
                  <c:v>0.21695042930644445</c:v>
                </c:pt>
                <c:pt idx="33">
                  <c:v>0.26476267196301889</c:v>
                </c:pt>
                <c:pt idx="34">
                  <c:v>0.31125121962857671</c:v>
                </c:pt>
                <c:pt idx="35">
                  <c:v>0.35656522954807668</c:v>
                </c:pt>
                <c:pt idx="36">
                  <c:v>0.35940211825236085</c:v>
                </c:pt>
                <c:pt idx="37">
                  <c:v>0.3612938020117395</c:v>
                </c:pt>
                <c:pt idx="38">
                  <c:v>0.36214358396510082</c:v>
                </c:pt>
                <c:pt idx="39">
                  <c:v>0.36184194770014372</c:v>
                </c:pt>
                <c:pt idx="40">
                  <c:v>0.36026435078496949</c:v>
                </c:pt>
                <c:pt idx="41">
                  <c:v>0.35726856107136773</c:v>
                </c:pt>
                <c:pt idx="42">
                  <c:v>0.35269141932806652</c:v>
                </c:pt>
                <c:pt idx="43">
                  <c:v>0.34634487594788749</c:v>
                </c:pt>
                <c:pt idx="44">
                  <c:v>0.33801110057376582</c:v>
                </c:pt>
                <c:pt idx="45">
                  <c:v>0.32743639589410001</c:v>
                </c:pt>
                <c:pt idx="46">
                  <c:v>0.31432355216462926</c:v>
                </c:pt>
                <c:pt idx="47">
                  <c:v>0.29832214442676863</c:v>
                </c:pt>
                <c:pt idx="48">
                  <c:v>0.27901608007649242</c:v>
                </c:pt>
                <c:pt idx="49">
                  <c:v>0.25590741904179409</c:v>
                </c:pt>
                <c:pt idx="50">
                  <c:v>0.25971849200790231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DE-3B42-9B14-15338DDA0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Total Wealth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Spending'!$AI$3</c:f>
              <c:strCache>
                <c:ptCount val="1"/>
                <c:pt idx="0">
                  <c:v>Target Stock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Spending'!$AI$4:$AI$54</c:f>
              <c:numCache>
                <c:formatCode>General</c:formatCode>
                <c:ptCount val="51"/>
                <c:pt idx="0">
                  <c:v>1979.8116581125</c:v>
                </c:pt>
                <c:pt idx="1">
                  <c:v>1942.3261663826634</c:v>
                </c:pt>
                <c:pt idx="2">
                  <c:v>1905.9767777787201</c:v>
                </c:pt>
                <c:pt idx="3">
                  <c:v>1870.7939915955294</c:v>
                </c:pt>
                <c:pt idx="4">
                  <c:v>1836.8089491877258</c:v>
                </c:pt>
                <c:pt idx="5">
                  <c:v>1804.0534469431975</c:v>
                </c:pt>
                <c:pt idx="6">
                  <c:v>1772.5599495165636</c:v>
                </c:pt>
                <c:pt idx="7">
                  <c:v>1742.3616033278856</c:v>
                </c:pt>
                <c:pt idx="8">
                  <c:v>1713.4922503318903</c:v>
                </c:pt>
                <c:pt idx="9">
                  <c:v>1685.986442063135</c:v>
                </c:pt>
                <c:pt idx="10">
                  <c:v>1659.8794539626258</c:v>
                </c:pt>
                <c:pt idx="11">
                  <c:v>1635.2072999915326</c:v>
                </c:pt>
                <c:pt idx="12">
                  <c:v>1612.0067475377352</c:v>
                </c:pt>
                <c:pt idx="13">
                  <c:v>1590.3153326210536</c:v>
                </c:pt>
                <c:pt idx="14">
                  <c:v>1570.1713754031591</c:v>
                </c:pt>
                <c:pt idx="15">
                  <c:v>1551.6139960082412</c:v>
                </c:pt>
                <c:pt idx="16">
                  <c:v>1534.6831306606605</c:v>
                </c:pt>
                <c:pt idx="17">
                  <c:v>1519.4195481459215</c:v>
                </c:pt>
                <c:pt idx="18">
                  <c:v>1505.864866601444</c:v>
                </c:pt>
                <c:pt idx="19">
                  <c:v>1494.0615706437179</c:v>
                </c:pt>
                <c:pt idx="20">
                  <c:v>1484.0530288385846</c:v>
                </c:pt>
                <c:pt idx="21">
                  <c:v>1475.8835115215029</c:v>
                </c:pt>
                <c:pt idx="22">
                  <c:v>1469.6375738378676</c:v>
                </c:pt>
                <c:pt idx="23">
                  <c:v>1465.0932072859723</c:v>
                </c:pt>
                <c:pt idx="24">
                  <c:v>1461.9633620260429</c:v>
                </c:pt>
                <c:pt idx="25">
                  <c:v>1460.0043141834897</c:v>
                </c:pt>
                <c:pt idx="26">
                  <c:v>1459.0087151285354</c:v>
                </c:pt>
                <c:pt idx="27">
                  <c:v>1458.7994525275267</c:v>
                </c:pt>
                <c:pt idx="28">
                  <c:v>1459.2244146937583</c:v>
                </c:pt>
                <c:pt idx="29">
                  <c:v>1460.199006319443</c:v>
                </c:pt>
                <c:pt idx="30">
                  <c:v>1461.8953795181351</c:v>
                </c:pt>
                <c:pt idx="31">
                  <c:v>1464.2611186318913</c:v>
                </c:pt>
                <c:pt idx="32">
                  <c:v>1467.2420032144082</c:v>
                </c:pt>
                <c:pt idx="33">
                  <c:v>1470.7805856860193</c:v>
                </c:pt>
                <c:pt idx="34">
                  <c:v>1474.8149283132047</c:v>
                </c:pt>
                <c:pt idx="35">
                  <c:v>1479.2774591930563</c:v>
                </c:pt>
                <c:pt idx="36">
                  <c:v>1484.0939148009247</c:v>
                </c:pt>
                <c:pt idx="37">
                  <c:v>1488.6644712306975</c:v>
                </c:pt>
                <c:pt idx="38">
                  <c:v>1492.9750059194537</c:v>
                </c:pt>
                <c:pt idx="39">
                  <c:v>1497.012572957336</c:v>
                </c:pt>
                <c:pt idx="40">
                  <c:v>1500.7653675296383</c:v>
                </c:pt>
                <c:pt idx="41">
                  <c:v>1504.2226628873382</c:v>
                </c:pt>
                <c:pt idx="42">
                  <c:v>1507.3747132052454</c:v>
                </c:pt>
                <c:pt idx="43">
                  <c:v>1510.2126139045399</c:v>
                </c:pt>
                <c:pt idx="44">
                  <c:v>1512.7281086933222</c:v>
                </c:pt>
                <c:pt idx="45">
                  <c:v>1514.9133295243228</c:v>
                </c:pt>
                <c:pt idx="46">
                  <c:v>1516.7604516131998</c:v>
                </c:pt>
                <c:pt idx="47">
                  <c:v>1518.2612402167347</c:v>
                </c:pt>
                <c:pt idx="48">
                  <c:v>1519.4064584729683</c:v>
                </c:pt>
                <c:pt idx="49">
                  <c:v>1520.1850954175197</c:v>
                </c:pt>
                <c:pt idx="50">
                  <c:v>1458.8550257132792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F-8944-A52F-67F76A332913}"/>
            </c:ext>
          </c:extLst>
        </c:ser>
        <c:ser>
          <c:idx val="1"/>
          <c:order val="1"/>
          <c:tx>
            <c:strRef>
              <c:f>'Discretionary Spending'!$AJ$3</c:f>
              <c:strCache>
                <c:ptCount val="1"/>
                <c:pt idx="0">
                  <c:v>Target Bond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Spending'!$AJ$4:$AJ$54</c:f>
              <c:numCache>
                <c:formatCode>General</c:formatCode>
                <c:ptCount val="51"/>
                <c:pt idx="0">
                  <c:v>494.95291452812501</c:v>
                </c:pt>
                <c:pt idx="1">
                  <c:v>485.58154159566584</c:v>
                </c:pt>
                <c:pt idx="2">
                  <c:v>476.49419444468003</c:v>
                </c:pt>
                <c:pt idx="3">
                  <c:v>467.69849789888235</c:v>
                </c:pt>
                <c:pt idx="4">
                  <c:v>459.20223729693146</c:v>
                </c:pt>
                <c:pt idx="5">
                  <c:v>451.01336173579938</c:v>
                </c:pt>
                <c:pt idx="6">
                  <c:v>443.1399873791409</c:v>
                </c:pt>
                <c:pt idx="7">
                  <c:v>435.59040083197141</c:v>
                </c:pt>
                <c:pt idx="8">
                  <c:v>428.37306258297258</c:v>
                </c:pt>
                <c:pt idx="9">
                  <c:v>421.49661051578374</c:v>
                </c:pt>
                <c:pt idx="10">
                  <c:v>414.96986349065645</c:v>
                </c:pt>
                <c:pt idx="11">
                  <c:v>408.80182499788316</c:v>
                </c:pt>
                <c:pt idx="12">
                  <c:v>403.00168688443381</c:v>
                </c:pt>
                <c:pt idx="13">
                  <c:v>397.5788331552634</c:v>
                </c:pt>
                <c:pt idx="14">
                  <c:v>392.54284385078978</c:v>
                </c:pt>
                <c:pt idx="15">
                  <c:v>387.9034990020603</c:v>
                </c:pt>
                <c:pt idx="16">
                  <c:v>383.67078266516512</c:v>
                </c:pt>
                <c:pt idx="17">
                  <c:v>379.85488703648036</c:v>
                </c:pt>
                <c:pt idx="18">
                  <c:v>376.46621665036099</c:v>
                </c:pt>
                <c:pt idx="19">
                  <c:v>373.51539266092948</c:v>
                </c:pt>
                <c:pt idx="20">
                  <c:v>371.01325720964616</c:v>
                </c:pt>
                <c:pt idx="21">
                  <c:v>368.97087788037572</c:v>
                </c:pt>
                <c:pt idx="22">
                  <c:v>367.40939345946691</c:v>
                </c:pt>
                <c:pt idx="23">
                  <c:v>366.27330182149308</c:v>
                </c:pt>
                <c:pt idx="24">
                  <c:v>365.49084050651072</c:v>
                </c:pt>
                <c:pt idx="25">
                  <c:v>365.00107854587242</c:v>
                </c:pt>
                <c:pt idx="26">
                  <c:v>364.75217878213385</c:v>
                </c:pt>
                <c:pt idx="27">
                  <c:v>364.69986313188167</c:v>
                </c:pt>
                <c:pt idx="28">
                  <c:v>364.80610367343957</c:v>
                </c:pt>
                <c:pt idx="29">
                  <c:v>365.04975157986075</c:v>
                </c:pt>
                <c:pt idx="30">
                  <c:v>365.47384487953377</c:v>
                </c:pt>
                <c:pt idx="31">
                  <c:v>366.06527965797284</c:v>
                </c:pt>
                <c:pt idx="32">
                  <c:v>366.81050080360205</c:v>
                </c:pt>
                <c:pt idx="33">
                  <c:v>367.69514642150483</c:v>
                </c:pt>
                <c:pt idx="34">
                  <c:v>368.70373207830119</c:v>
                </c:pt>
                <c:pt idx="35">
                  <c:v>369.81936479826408</c:v>
                </c:pt>
                <c:pt idx="36">
                  <c:v>371.02347870023118</c:v>
                </c:pt>
                <c:pt idx="37">
                  <c:v>372.16611780767437</c:v>
                </c:pt>
                <c:pt idx="38">
                  <c:v>373.24375147986342</c:v>
                </c:pt>
                <c:pt idx="39">
                  <c:v>374.25314323933401</c:v>
                </c:pt>
                <c:pt idx="40">
                  <c:v>375.19134188240957</c:v>
                </c:pt>
                <c:pt idx="41">
                  <c:v>376.05566572183454</c:v>
                </c:pt>
                <c:pt idx="42">
                  <c:v>376.84367830131134</c:v>
                </c:pt>
                <c:pt idx="43">
                  <c:v>377.55315347613498</c:v>
                </c:pt>
                <c:pt idx="44">
                  <c:v>378.18202717333054</c:v>
                </c:pt>
                <c:pt idx="45">
                  <c:v>378.72833238108069</c:v>
                </c:pt>
                <c:pt idx="46">
                  <c:v>379.19011290329996</c:v>
                </c:pt>
                <c:pt idx="47">
                  <c:v>379.56531005418367</c:v>
                </c:pt>
                <c:pt idx="48">
                  <c:v>379.85161461824208</c:v>
                </c:pt>
                <c:pt idx="49">
                  <c:v>380.04627385437993</c:v>
                </c:pt>
                <c:pt idx="50">
                  <c:v>364.71375642831981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1F-8944-A52F-67F76A332913}"/>
            </c:ext>
          </c:extLst>
        </c:ser>
        <c:ser>
          <c:idx val="2"/>
          <c:order val="2"/>
          <c:tx>
            <c:strRef>
              <c:f>'Discretionary Spending'!$AK$3</c:f>
              <c:strCache>
                <c:ptCount val="1"/>
                <c:pt idx="0">
                  <c:v>Target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Spending'!$AK$4:$AK$54</c:f>
              <c:numCache>
                <c:formatCode>0</c:formatCode>
                <c:ptCount val="51"/>
                <c:pt idx="0">
                  <c:v>732.53031350162462</c:v>
                </c:pt>
                <c:pt idx="1">
                  <c:v>718.66068156158508</c:v>
                </c:pt>
                <c:pt idx="2">
                  <c:v>705.21140777812616</c:v>
                </c:pt>
                <c:pt idx="3">
                  <c:v>692.19377689034559</c:v>
                </c:pt>
                <c:pt idx="4">
                  <c:v>679.61931119945837</c:v>
                </c:pt>
                <c:pt idx="5">
                  <c:v>667.49977536898268</c:v>
                </c:pt>
                <c:pt idx="6">
                  <c:v>655.84718132112812</c:v>
                </c:pt>
                <c:pt idx="7">
                  <c:v>644.67379323131718</c:v>
                </c:pt>
                <c:pt idx="8">
                  <c:v>633.99213262279909</c:v>
                </c:pt>
                <c:pt idx="9">
                  <c:v>623.81498356335965</c:v>
                </c:pt>
                <c:pt idx="10">
                  <c:v>614.15539796617122</c:v>
                </c:pt>
                <c:pt idx="11">
                  <c:v>605.02670099686657</c:v>
                </c:pt>
                <c:pt idx="12">
                  <c:v>596.4424965889616</c:v>
                </c:pt>
                <c:pt idx="13">
                  <c:v>588.41667306978945</c:v>
                </c:pt>
                <c:pt idx="14">
                  <c:v>580.9634088991686</c:v>
                </c:pt>
                <c:pt idx="15">
                  <c:v>574.09717852304902</c:v>
                </c:pt>
                <c:pt idx="16">
                  <c:v>567.83275834444419</c:v>
                </c:pt>
                <c:pt idx="17">
                  <c:v>562.18523281399064</c:v>
                </c:pt>
                <c:pt idx="18">
                  <c:v>557.17000064253398</c:v>
                </c:pt>
                <c:pt idx="19">
                  <c:v>552.80278113817542</c:v>
                </c:pt>
                <c:pt idx="20">
                  <c:v>549.09962067027618</c:v>
                </c:pt>
                <c:pt idx="21">
                  <c:v>546.07689926295586</c:v>
                </c:pt>
                <c:pt idx="22">
                  <c:v>543.76590232001081</c:v>
                </c:pt>
                <c:pt idx="23">
                  <c:v>542.08448669580957</c:v>
                </c:pt>
                <c:pt idx="24">
                  <c:v>540.92644394963554</c:v>
                </c:pt>
                <c:pt idx="25">
                  <c:v>540.20159624789085</c:v>
                </c:pt>
                <c:pt idx="26">
                  <c:v>539.83322459755777</c:v>
                </c:pt>
                <c:pt idx="27">
                  <c:v>539.75579743518472</c:v>
                </c:pt>
                <c:pt idx="28">
                  <c:v>539.91303343669028</c:v>
                </c:pt>
                <c:pt idx="29">
                  <c:v>540.27363233819358</c:v>
                </c:pt>
                <c:pt idx="30">
                  <c:v>540.90129042170975</c:v>
                </c:pt>
                <c:pt idx="31">
                  <c:v>541.77661389379966</c:v>
                </c:pt>
                <c:pt idx="32">
                  <c:v>542.87954118933089</c:v>
                </c:pt>
                <c:pt idx="33">
                  <c:v>544.18881670382666</c:v>
                </c:pt>
                <c:pt idx="34">
                  <c:v>545.68152347588546</c:v>
                </c:pt>
                <c:pt idx="35">
                  <c:v>547.33265990143036</c:v>
                </c:pt>
                <c:pt idx="36">
                  <c:v>549.11474847634167</c:v>
                </c:pt>
                <c:pt idx="37">
                  <c:v>550.80585435535784</c:v>
                </c:pt>
                <c:pt idx="38">
                  <c:v>552.40075219019741</c:v>
                </c:pt>
                <c:pt idx="39">
                  <c:v>553.89465199421409</c:v>
                </c:pt>
                <c:pt idx="40">
                  <c:v>555.28318598596582</c:v>
                </c:pt>
                <c:pt idx="41">
                  <c:v>556.56238526831464</c:v>
                </c:pt>
                <c:pt idx="42">
                  <c:v>557.72864388594041</c:v>
                </c:pt>
                <c:pt idx="43">
                  <c:v>558.77866714467962</c:v>
                </c:pt>
                <c:pt idx="44">
                  <c:v>559.70940021652893</c:v>
                </c:pt>
                <c:pt idx="45">
                  <c:v>560.51793192399919</c:v>
                </c:pt>
                <c:pt idx="46">
                  <c:v>561.20136709688381</c:v>
                </c:pt>
                <c:pt idx="47">
                  <c:v>561.75665888019137</c:v>
                </c:pt>
                <c:pt idx="48">
                  <c:v>562.18038963499794</c:v>
                </c:pt>
                <c:pt idx="49">
                  <c:v>562.4684853044821</c:v>
                </c:pt>
                <c:pt idx="50">
                  <c:v>539.77635951391312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1F-8944-A52F-67F76A332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Spending'!$AM$4:$AM$54</c:f>
              <c:numCache>
                <c:formatCode>General</c:formatCode>
                <c:ptCount val="51"/>
                <c:pt idx="0">
                  <c:v>1979.8116581125</c:v>
                </c:pt>
                <c:pt idx="1">
                  <c:v>1942.3261663826634</c:v>
                </c:pt>
                <c:pt idx="2">
                  <c:v>1905.9767777787201</c:v>
                </c:pt>
                <c:pt idx="3">
                  <c:v>1870.7939915955294</c:v>
                </c:pt>
                <c:pt idx="4">
                  <c:v>1836.8089491877258</c:v>
                </c:pt>
                <c:pt idx="5">
                  <c:v>1804.0534469431975</c:v>
                </c:pt>
                <c:pt idx="6">
                  <c:v>1772.5599495165636</c:v>
                </c:pt>
                <c:pt idx="7">
                  <c:v>1742.3616033278856</c:v>
                </c:pt>
                <c:pt idx="8">
                  <c:v>1713.4922503318903</c:v>
                </c:pt>
                <c:pt idx="9">
                  <c:v>1685.986442063135</c:v>
                </c:pt>
                <c:pt idx="10">
                  <c:v>1659.8794539626258</c:v>
                </c:pt>
                <c:pt idx="11">
                  <c:v>1635.2072999915326</c:v>
                </c:pt>
                <c:pt idx="12">
                  <c:v>1612.0067475377352</c:v>
                </c:pt>
                <c:pt idx="13">
                  <c:v>1590.3153326210536</c:v>
                </c:pt>
                <c:pt idx="14">
                  <c:v>1570.1713754031591</c:v>
                </c:pt>
                <c:pt idx="15">
                  <c:v>1551.6139960082412</c:v>
                </c:pt>
                <c:pt idx="16">
                  <c:v>1534.6831306606605</c:v>
                </c:pt>
                <c:pt idx="17">
                  <c:v>1519.4195481459215</c:v>
                </c:pt>
                <c:pt idx="18">
                  <c:v>1505.864866601444</c:v>
                </c:pt>
                <c:pt idx="19">
                  <c:v>1494.0615706437179</c:v>
                </c:pt>
                <c:pt idx="20">
                  <c:v>1484.0530288385846</c:v>
                </c:pt>
                <c:pt idx="21">
                  <c:v>1475.8835115215029</c:v>
                </c:pt>
                <c:pt idx="22">
                  <c:v>1469.6375738378676</c:v>
                </c:pt>
                <c:pt idx="23">
                  <c:v>1465.0932072859723</c:v>
                </c:pt>
                <c:pt idx="24">
                  <c:v>1461.9633620260429</c:v>
                </c:pt>
                <c:pt idx="25">
                  <c:v>1460.0043141834897</c:v>
                </c:pt>
                <c:pt idx="26">
                  <c:v>1459.0087151285354</c:v>
                </c:pt>
                <c:pt idx="27">
                  <c:v>1458.7994525275267</c:v>
                </c:pt>
                <c:pt idx="28">
                  <c:v>1459.2244146937583</c:v>
                </c:pt>
                <c:pt idx="29">
                  <c:v>1460.199006319443</c:v>
                </c:pt>
                <c:pt idx="30">
                  <c:v>1461.8953795181351</c:v>
                </c:pt>
                <c:pt idx="31">
                  <c:v>1464.2611186318913</c:v>
                </c:pt>
                <c:pt idx="32">
                  <c:v>1467.2420032144082</c:v>
                </c:pt>
                <c:pt idx="33">
                  <c:v>1470.7805856860193</c:v>
                </c:pt>
                <c:pt idx="34">
                  <c:v>1474.8149283132047</c:v>
                </c:pt>
                <c:pt idx="35">
                  <c:v>1479.2774591930563</c:v>
                </c:pt>
                <c:pt idx="36">
                  <c:v>1484.0939148009247</c:v>
                </c:pt>
                <c:pt idx="37">
                  <c:v>1488.6644712306975</c:v>
                </c:pt>
                <c:pt idx="38">
                  <c:v>1492.9750059194537</c:v>
                </c:pt>
                <c:pt idx="39">
                  <c:v>1497.012572957336</c:v>
                </c:pt>
                <c:pt idx="40">
                  <c:v>1500.7653675296383</c:v>
                </c:pt>
                <c:pt idx="41">
                  <c:v>1504.2226628873382</c:v>
                </c:pt>
                <c:pt idx="42">
                  <c:v>1507.3747132052454</c:v>
                </c:pt>
                <c:pt idx="43">
                  <c:v>1510.2126139045399</c:v>
                </c:pt>
                <c:pt idx="44">
                  <c:v>1512.7281086933222</c:v>
                </c:pt>
                <c:pt idx="45">
                  <c:v>1514.9133295243228</c:v>
                </c:pt>
                <c:pt idx="46">
                  <c:v>1516.7604516131998</c:v>
                </c:pt>
                <c:pt idx="47">
                  <c:v>1518.2612402167347</c:v>
                </c:pt>
                <c:pt idx="48">
                  <c:v>1519.4064584729683</c:v>
                </c:pt>
                <c:pt idx="49">
                  <c:v>1520.1850954175197</c:v>
                </c:pt>
                <c:pt idx="50">
                  <c:v>1458.8550257132792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7-BF4F-9644-22486E7CA610}"/>
            </c:ext>
          </c:extLst>
        </c:ser>
        <c:ser>
          <c:idx val="1"/>
          <c:order val="1"/>
          <c:tx>
            <c:strRef>
              <c:f>'Discretionary Spending'!$AN$3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Spending'!$AN$4:$AN$54</c:f>
              <c:numCache>
                <c:formatCode>0</c:formatCode>
                <c:ptCount val="51"/>
                <c:pt idx="0">
                  <c:v>-1232.2290411244717</c:v>
                </c:pt>
                <c:pt idx="1">
                  <c:v>-1108.1821674325638</c:v>
                </c:pt>
                <c:pt idx="2">
                  <c:v>-985.93177342005538</c:v>
                </c:pt>
                <c:pt idx="3">
                  <c:v>-865.60682178031379</c:v>
                </c:pt>
                <c:pt idx="4">
                  <c:v>-747.34074599026951</c:v>
                </c:pt>
                <c:pt idx="5">
                  <c:v>-631.27157768396069</c:v>
                </c:pt>
                <c:pt idx="6">
                  <c:v>-517.54207733327371</c:v>
                </c:pt>
                <c:pt idx="7">
                  <c:v>-406.29986831714706</c:v>
                </c:pt>
                <c:pt idx="8">
                  <c:v>-297.69757446253698</c:v>
                </c:pt>
                <c:pt idx="9">
                  <c:v>-191.89296114242319</c:v>
                </c:pt>
                <c:pt idx="10">
                  <c:v>-89.049080018045345</c:v>
                </c:pt>
                <c:pt idx="11">
                  <c:v>10.665582485221421</c:v>
                </c:pt>
                <c:pt idx="12">
                  <c:v>107.07695287695032</c:v>
                </c:pt>
                <c:pt idx="13">
                  <c:v>200.00521438206158</c:v>
                </c:pt>
                <c:pt idx="14">
                  <c:v>289.26464670673482</c:v>
                </c:pt>
                <c:pt idx="15">
                  <c:v>374.66346169172022</c:v>
                </c:pt>
                <c:pt idx="16">
                  <c:v>456.00363475263805</c:v>
                </c:pt>
                <c:pt idx="17">
                  <c:v>533.08073200449428</c:v>
                </c:pt>
                <c:pt idx="18">
                  <c:v>605.6837329651953</c:v>
                </c:pt>
                <c:pt idx="19">
                  <c:v>673.5948487303616</c:v>
                </c:pt>
                <c:pt idx="20">
                  <c:v>736.58933550922575</c:v>
                </c:pt>
                <c:pt idx="21">
                  <c:v>794.43530340877203</c:v>
                </c:pt>
                <c:pt idx="22">
                  <c:v>846.90336156640547</c:v>
                </c:pt>
                <c:pt idx="23">
                  <c:v>893.67970033179574</c:v>
                </c:pt>
                <c:pt idx="24">
                  <c:v>934.42626094096124</c:v>
                </c:pt>
                <c:pt idx="25">
                  <c:v>968.80761111392485</c:v>
                </c:pt>
                <c:pt idx="26">
                  <c:v>996.48898569285029</c:v>
                </c:pt>
                <c:pt idx="27">
                  <c:v>1017.1345246378327</c:v>
                </c:pt>
                <c:pt idx="28">
                  <c:v>1030.4057311275628</c:v>
                </c:pt>
                <c:pt idx="29">
                  <c:v>1035.9718616473726</c:v>
                </c:pt>
                <c:pt idx="30">
                  <c:v>1033.5569889058802</c:v>
                </c:pt>
                <c:pt idx="31">
                  <c:v>1022.8194220493713</c:v>
                </c:pt>
                <c:pt idx="32">
                  <c:v>1003.4071401289367</c:v>
                </c:pt>
                <c:pt idx="33">
                  <c:v>974.95717279306837</c:v>
                </c:pt>
                <c:pt idx="34">
                  <c:v>937.09501421410403</c:v>
                </c:pt>
                <c:pt idx="35">
                  <c:v>889.43406001021958</c:v>
                </c:pt>
                <c:pt idx="36">
                  <c:v>831.57505889042261</c:v>
                </c:pt>
                <c:pt idx="37">
                  <c:v>776.48961249714671</c:v>
                </c:pt>
                <c:pt idx="38">
                  <c:v>724.31121661651184</c:v>
                </c:pt>
                <c:pt idx="39">
                  <c:v>675.17800824316964</c:v>
                </c:pt>
                <c:pt idx="40">
                  <c:v>629.23287576206531</c:v>
                </c:pt>
                <c:pt idx="41">
                  <c:v>586.62356528634155</c:v>
                </c:pt>
                <c:pt idx="42">
                  <c:v>547.50278156451191</c:v>
                </c:pt>
                <c:pt idx="43">
                  <c:v>512.0282814261509</c:v>
                </c:pt>
                <c:pt idx="44">
                  <c:v>480.36295715632934</c:v>
                </c:pt>
                <c:pt idx="45">
                  <c:v>452.67490642720156</c:v>
                </c:pt>
                <c:pt idx="46">
                  <c:v>429.13748440307461</c:v>
                </c:pt>
                <c:pt idx="47">
                  <c:v>409.9293322761398</c:v>
                </c:pt>
                <c:pt idx="48">
                  <c:v>395.23437464266709</c:v>
                </c:pt>
                <c:pt idx="49">
                  <c:v>385.24177558448372</c:v>
                </c:pt>
                <c:pt idx="50">
                  <c:v>364.71375642831981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7-BF4F-9644-22486E7CA610}"/>
            </c:ext>
          </c:extLst>
        </c:ser>
        <c:ser>
          <c:idx val="2"/>
          <c:order val="2"/>
          <c:tx>
            <c:strRef>
              <c:f>'Discretionary Spending'!$AO$3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Spending'!$AO$4:$AO$54</c:f>
              <c:numCache>
                <c:formatCode>0</c:formatCode>
                <c:ptCount val="51"/>
                <c:pt idx="0">
                  <c:v>-647.58261698802869</c:v>
                </c:pt>
                <c:pt idx="1">
                  <c:v>-707.01639327528051</c:v>
                </c:pt>
                <c:pt idx="2">
                  <c:v>-762.19222389953438</c:v>
                </c:pt>
                <c:pt idx="3">
                  <c:v>-812.92709496370185</c:v>
                </c:pt>
                <c:pt idx="4">
                  <c:v>-859.03242087725005</c:v>
                </c:pt>
                <c:pt idx="5">
                  <c:v>-900.31389488244577</c:v>
                </c:pt>
                <c:pt idx="6">
                  <c:v>-936.57133583106929</c:v>
                </c:pt>
                <c:pt idx="7">
                  <c:v>-967.59853112146789</c:v>
                </c:pt>
                <c:pt idx="8">
                  <c:v>-993.18307570363277</c:v>
                </c:pt>
                <c:pt idx="9">
                  <c:v>-1013.106207057815</c:v>
                </c:pt>
                <c:pt idx="10">
                  <c:v>-1027.1426360500968</c:v>
                </c:pt>
                <c:pt idx="11">
                  <c:v>-1035.0603735659399</c:v>
                </c:pt>
                <c:pt idx="12">
                  <c:v>-1036.6205528205326</c:v>
                </c:pt>
                <c:pt idx="13">
                  <c:v>-1031.5772472423268</c:v>
                </c:pt>
                <c:pt idx="14">
                  <c:v>-1019.677283823801</c:v>
                </c:pt>
                <c:pt idx="15">
                  <c:v>-1000.6600518309756</c:v>
                </c:pt>
                <c:pt idx="16">
                  <c:v>-974.25730676068054</c:v>
                </c:pt>
                <c:pt idx="17">
                  <c:v>-940.1929694320271</c:v>
                </c:pt>
                <c:pt idx="18">
                  <c:v>-898.18292009586457</c:v>
                </c:pt>
                <c:pt idx="19">
                  <c:v>-847.93478744329229</c:v>
                </c:pt>
                <c:pt idx="20">
                  <c:v>-789.14773239157967</c:v>
                </c:pt>
                <c:pt idx="21">
                  <c:v>-721.51222652296121</c:v>
                </c:pt>
                <c:pt idx="22">
                  <c:v>-644.69526004959926</c:v>
                </c:pt>
                <c:pt idx="23">
                  <c:v>-558.46844996241862</c:v>
                </c:pt>
                <c:pt idx="24">
                  <c:v>-462.61844539569893</c:v>
                </c:pt>
                <c:pt idx="25">
                  <c:v>-356.90659460926258</c:v>
                </c:pt>
                <c:pt idx="26">
                  <c:v>-241.07127376804215</c:v>
                </c:pt>
                <c:pt idx="27">
                  <c:v>-114.82990935474754</c:v>
                </c:pt>
                <c:pt idx="28">
                  <c:v>22.119339792906203</c:v>
                </c:pt>
                <c:pt idx="29">
                  <c:v>170.11357475722764</c:v>
                </c:pt>
                <c:pt idx="30">
                  <c:v>329.59543993164027</c:v>
                </c:pt>
                <c:pt idx="31">
                  <c:v>500.9353109094036</c:v>
                </c:pt>
                <c:pt idx="32">
                  <c:v>684.51399805913877</c:v>
                </c:pt>
                <c:pt idx="33">
                  <c:v>880.72250845130861</c:v>
                </c:pt>
                <c:pt idx="34">
                  <c:v>1089.961873821509</c:v>
                </c:pt>
                <c:pt idx="35">
                  <c:v>1312.6430298205296</c:v>
                </c:pt>
                <c:pt idx="36">
                  <c:v>1299.186834719826</c:v>
                </c:pt>
                <c:pt idx="37">
                  <c:v>1281.3185994282348</c:v>
                </c:pt>
                <c:pt idx="38">
                  <c:v>1258.8663516111455</c:v>
                </c:pt>
                <c:pt idx="39">
                  <c:v>1231.6536128391263</c:v>
                </c:pt>
                <c:pt idx="40">
                  <c:v>1199.4992544720333</c:v>
                </c:pt>
                <c:pt idx="41">
                  <c:v>1162.217340116845</c:v>
                </c:pt>
                <c:pt idx="42">
                  <c:v>1119.6169521240381</c:v>
                </c:pt>
                <c:pt idx="43">
                  <c:v>1071.5019989259877</c:v>
                </c:pt>
                <c:pt idx="44">
                  <c:v>1017.6709991594809</c:v>
                </c:pt>
                <c:pt idx="45">
                  <c:v>957.91683738234792</c:v>
                </c:pt>
                <c:pt idx="46">
                  <c:v>892.0264846916682</c:v>
                </c:pt>
                <c:pt idx="47">
                  <c:v>819.78067553468543</c:v>
                </c:pt>
                <c:pt idx="48">
                  <c:v>740.95352926455212</c:v>
                </c:pt>
                <c:pt idx="49">
                  <c:v>655.31210122143716</c:v>
                </c:pt>
                <c:pt idx="50">
                  <c:v>639.77625951391315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7-BF4F-9644-22486E7C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Financial Holdings at Beginning of Life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Spending'!$AM$3</c:f>
              <c:strCache>
                <c:ptCount val="1"/>
                <c:pt idx="0">
                  <c:v>Target Financial Stocks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'Discretionary Spending'!$AM$4:$AM$14</c:f>
              <c:numCache>
                <c:formatCode>General</c:formatCode>
                <c:ptCount val="11"/>
                <c:pt idx="0">
                  <c:v>1979.8116581125</c:v>
                </c:pt>
                <c:pt idx="1">
                  <c:v>1942.3261663826634</c:v>
                </c:pt>
                <c:pt idx="2">
                  <c:v>1905.9767777787201</c:v>
                </c:pt>
                <c:pt idx="3">
                  <c:v>1870.7939915955294</c:v>
                </c:pt>
                <c:pt idx="4">
                  <c:v>1836.8089491877258</c:v>
                </c:pt>
                <c:pt idx="5">
                  <c:v>1804.0534469431975</c:v>
                </c:pt>
                <c:pt idx="6">
                  <c:v>1772.5599495165636</c:v>
                </c:pt>
                <c:pt idx="7">
                  <c:v>1742.3616033278856</c:v>
                </c:pt>
                <c:pt idx="8">
                  <c:v>1713.4922503318903</c:v>
                </c:pt>
                <c:pt idx="9">
                  <c:v>1685.986442063135</c:v>
                </c:pt>
                <c:pt idx="10">
                  <c:v>1659.8794539626258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0-5241-8093-000ECFBF5CF4}"/>
            </c:ext>
          </c:extLst>
        </c:ser>
        <c:ser>
          <c:idx val="1"/>
          <c:order val="1"/>
          <c:tx>
            <c:strRef>
              <c:f>'Discretionary Spending'!$AN$3</c:f>
              <c:strCache>
                <c:ptCount val="1"/>
                <c:pt idx="0">
                  <c:v>Target Financial Bonds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'Discretionary Spending'!$AN$4:$AN$14</c:f>
              <c:numCache>
                <c:formatCode>0</c:formatCode>
                <c:ptCount val="11"/>
                <c:pt idx="0">
                  <c:v>-1232.2290411244717</c:v>
                </c:pt>
                <c:pt idx="1">
                  <c:v>-1108.1821674325638</c:v>
                </c:pt>
                <c:pt idx="2">
                  <c:v>-985.93177342005538</c:v>
                </c:pt>
                <c:pt idx="3">
                  <c:v>-865.60682178031379</c:v>
                </c:pt>
                <c:pt idx="4">
                  <c:v>-747.34074599026951</c:v>
                </c:pt>
                <c:pt idx="5">
                  <c:v>-631.27157768396069</c:v>
                </c:pt>
                <c:pt idx="6">
                  <c:v>-517.54207733327371</c:v>
                </c:pt>
                <c:pt idx="7">
                  <c:v>-406.29986831714706</c:v>
                </c:pt>
                <c:pt idx="8">
                  <c:v>-297.69757446253698</c:v>
                </c:pt>
                <c:pt idx="9">
                  <c:v>-191.89296114242319</c:v>
                </c:pt>
                <c:pt idx="10">
                  <c:v>-89.049080018045345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0-5241-8093-000ECFBF5CF4}"/>
            </c:ext>
          </c:extLst>
        </c:ser>
        <c:ser>
          <c:idx val="2"/>
          <c:order val="2"/>
          <c:tx>
            <c:strRef>
              <c:f>'Discretionary Spending'!$AO$3</c:f>
              <c:strCache>
                <c:ptCount val="1"/>
                <c:pt idx="0">
                  <c:v>Target Financial Cash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'Discretionary Spending'!$H$4:$H$14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'Discretionary Spending'!$AO$4:$AO$14</c:f>
              <c:numCache>
                <c:formatCode>0</c:formatCode>
                <c:ptCount val="11"/>
                <c:pt idx="0">
                  <c:v>-647.58261698802869</c:v>
                </c:pt>
                <c:pt idx="1">
                  <c:v>-707.01639327528051</c:v>
                </c:pt>
                <c:pt idx="2">
                  <c:v>-762.19222389953438</c:v>
                </c:pt>
                <c:pt idx="3">
                  <c:v>-812.92709496370185</c:v>
                </c:pt>
                <c:pt idx="4">
                  <c:v>-859.03242087725005</c:v>
                </c:pt>
                <c:pt idx="5">
                  <c:v>-900.31389488244577</c:v>
                </c:pt>
                <c:pt idx="6">
                  <c:v>-936.57133583106929</c:v>
                </c:pt>
                <c:pt idx="7">
                  <c:v>-967.59853112146789</c:v>
                </c:pt>
                <c:pt idx="8">
                  <c:v>-993.18307570363277</c:v>
                </c:pt>
                <c:pt idx="9">
                  <c:v>-1013.106207057815</c:v>
                </c:pt>
                <c:pt idx="10">
                  <c:v>-1027.1426360500968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0-5241-8093-000ECFBF5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4064"/>
        <c:axId val="732745776"/>
      </c:scatterChart>
      <c:valAx>
        <c:axId val="7327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5776"/>
        <c:crosses val="autoZero"/>
        <c:crossBetween val="midCat"/>
      </c:valAx>
      <c:valAx>
        <c:axId val="732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4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Discretionary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'Discretionary Spending'!$K$3</c:f>
              <c:strCache>
                <c:ptCount val="1"/>
                <c:pt idx="0">
                  <c:v>Expenses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Spending'!$K$4:$K$54</c:f>
              <c:numCache>
                <c:formatCode>General</c:formatCode>
                <c:ptCount val="51"/>
                <c:pt idx="0">
                  <c:v>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-100</c:v>
                </c:pt>
                <c:pt idx="10">
                  <c:v>-100</c:v>
                </c:pt>
                <c:pt idx="11">
                  <c:v>-100</c:v>
                </c:pt>
                <c:pt idx="12">
                  <c:v>-100</c:v>
                </c:pt>
                <c:pt idx="13">
                  <c:v>-100</c:v>
                </c:pt>
                <c:pt idx="14">
                  <c:v>-100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  <c:pt idx="19">
                  <c:v>-100</c:v>
                </c:pt>
                <c:pt idx="20">
                  <c:v>-100</c:v>
                </c:pt>
                <c:pt idx="21">
                  <c:v>-100</c:v>
                </c:pt>
                <c:pt idx="22">
                  <c:v>-100</c:v>
                </c:pt>
                <c:pt idx="23">
                  <c:v>-100</c:v>
                </c:pt>
                <c:pt idx="24">
                  <c:v>-100</c:v>
                </c:pt>
                <c:pt idx="25">
                  <c:v>-100</c:v>
                </c:pt>
                <c:pt idx="26">
                  <c:v>-100</c:v>
                </c:pt>
                <c:pt idx="27">
                  <c:v>-100</c:v>
                </c:pt>
                <c:pt idx="28">
                  <c:v>-100</c:v>
                </c:pt>
                <c:pt idx="29">
                  <c:v>-100</c:v>
                </c:pt>
                <c:pt idx="30">
                  <c:v>-100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-100</c:v>
                </c:pt>
                <c:pt idx="36">
                  <c:v>-100</c:v>
                </c:pt>
                <c:pt idx="37">
                  <c:v>-100</c:v>
                </c:pt>
                <c:pt idx="38">
                  <c:v>-100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0-034A-B435-0F54566E847A}"/>
            </c:ext>
          </c:extLst>
        </c:ser>
        <c:ser>
          <c:idx val="1"/>
          <c:order val="1"/>
          <c:tx>
            <c:strRef>
              <c:f>'Discretionary Spending'!$T$3</c:f>
              <c:strCache>
                <c:ptCount val="1"/>
                <c:pt idx="0">
                  <c:v>Discretionary Spending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'Discretionary Spending'!$H$4:$H$54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'Discretionary Spending'!$T$4:$T$54</c:f>
              <c:numCache>
                <c:formatCode>0</c:formatCode>
                <c:ptCount val="51"/>
                <c:pt idx="0">
                  <c:v>0</c:v>
                </c:pt>
                <c:pt idx="1">
                  <c:v>-127.25239432518093</c:v>
                </c:pt>
                <c:pt idx="2">
                  <c:v>-124.84301434424567</c:v>
                </c:pt>
                <c:pt idx="3">
                  <c:v>-122.50665739172723</c:v>
                </c:pt>
                <c:pt idx="4">
                  <c:v>-120.24528380980264</c:v>
                </c:pt>
                <c:pt idx="5">
                  <c:v>-118.06089520904108</c:v>
                </c:pt>
                <c:pt idx="6">
                  <c:v>-115.95553530227401</c:v>
                </c:pt>
                <c:pt idx="7">
                  <c:v>-113.93129075517712</c:v>
                </c:pt>
                <c:pt idx="8">
                  <c:v>-111.99029205389984</c:v>
                </c:pt>
                <c:pt idx="9">
                  <c:v>-110.13471439008224</c:v>
                </c:pt>
                <c:pt idx="10">
                  <c:v>-108.36677856360799</c:v>
                </c:pt>
                <c:pt idx="11">
                  <c:v>-106.68875190344777</c:v>
                </c:pt>
                <c:pt idx="12">
                  <c:v>-105.10294920695574</c:v>
                </c:pt>
                <c:pt idx="13">
                  <c:v>-103.61173369798792</c:v>
                </c:pt>
                <c:pt idx="14">
                  <c:v>-102.21751800421821</c:v>
                </c:pt>
                <c:pt idx="15">
                  <c:v>-100.92276515403805</c:v>
                </c:pt>
                <c:pt idx="16">
                  <c:v>-99.729989593429693</c:v>
                </c:pt>
                <c:pt idx="17">
                  <c:v>-98.641758223213941</c:v>
                </c:pt>
                <c:pt idx="18">
                  <c:v>-97.660691457079096</c:v>
                </c:pt>
                <c:pt idx="19">
                  <c:v>-96.789464300807808</c:v>
                </c:pt>
                <c:pt idx="20">
                  <c:v>-96.030807453124964</c:v>
                </c:pt>
                <c:pt idx="21">
                  <c:v>-95.387508428600029</c:v>
                </c:pt>
                <c:pt idx="22">
                  <c:v>-94.862412703044598</c:v>
                </c:pt>
                <c:pt idx="23">
                  <c:v>-94.460955058428937</c:v>
                </c:pt>
                <c:pt idx="24">
                  <c:v>-94.168865898305867</c:v>
                </c:pt>
                <c:pt idx="25">
                  <c:v>-93.967695094223899</c:v>
                </c:pt>
                <c:pt idx="26">
                  <c:v>-93.841777294143782</c:v>
                </c:pt>
                <c:pt idx="27">
                  <c:v>-93.777785164886595</c:v>
                </c:pt>
                <c:pt idx="28">
                  <c:v>-93.76433481120678</c:v>
                </c:pt>
                <c:pt idx="29">
                  <c:v>-93.79164925444131</c:v>
                </c:pt>
                <c:pt idx="30">
                  <c:v>-93.854291131182194</c:v>
                </c:pt>
                <c:pt idx="31">
                  <c:v>-93.963325518528123</c:v>
                </c:pt>
                <c:pt idx="32">
                  <c:v>-94.115383400064815</c:v>
                </c:pt>
                <c:pt idx="33">
                  <c:v>-94.306979756606083</c:v>
                </c:pt>
                <c:pt idx="34">
                  <c:v>-94.534422144968872</c:v>
                </c:pt>
                <c:pt idx="35">
                  <c:v>-94.793729517331229</c:v>
                </c:pt>
                <c:pt idx="36">
                  <c:v>-95.080558689633676</c:v>
                </c:pt>
                <c:pt idx="37">
                  <c:v>-95.390136373829421</c:v>
                </c:pt>
                <c:pt idx="38">
                  <c:v>-95.683908888353074</c:v>
                </c:pt>
                <c:pt idx="39">
                  <c:v>-95.960968505472877</c:v>
                </c:pt>
                <c:pt idx="40">
                  <c:v>-96.220483126832761</c:v>
                </c:pt>
                <c:pt idx="41">
                  <c:v>-96.461693997967487</c:v>
                </c:pt>
                <c:pt idx="42">
                  <c:v>-96.683911657083641</c:v>
                </c:pt>
                <c:pt idx="43">
                  <c:v>-96.886509691267136</c:v>
                </c:pt>
                <c:pt idx="44">
                  <c:v>-97.068915758714297</c:v>
                </c:pt>
                <c:pt idx="45">
                  <c:v>-97.230599186263277</c:v>
                </c:pt>
                <c:pt idx="46">
                  <c:v>-97.371054255175835</c:v>
                </c:pt>
                <c:pt idx="47">
                  <c:v>-97.489778027438419</c:v>
                </c:pt>
                <c:pt idx="48">
                  <c:v>-97.58624121493061</c:v>
                </c:pt>
                <c:pt idx="49">
                  <c:v>-97.659850118350036</c:v>
                </c:pt>
                <c:pt idx="50">
                  <c:v>-97.709897007961075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00-034A-B435-0F54566E8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500383"/>
        <c:axId val="1228502095"/>
      </c:scatterChart>
      <c:valAx>
        <c:axId val="1228500383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02095"/>
        <c:crosses val="autoZero"/>
        <c:crossBetween val="midCat"/>
      </c:valAx>
      <c:valAx>
        <c:axId val="122850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00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792617</xdr:colOff>
      <xdr:row>55</xdr:row>
      <xdr:rowOff>11793</xdr:rowOff>
    </xdr:from>
    <xdr:to>
      <xdr:col>12</xdr:col>
      <xdr:colOff>748393</xdr:colOff>
      <xdr:row>73</xdr:row>
      <xdr:rowOff>124732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20BB2-93F4-144E-8A8B-85FB50A8A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192768</xdr:colOff>
      <xdr:row>55</xdr:row>
      <xdr:rowOff>1</xdr:rowOff>
    </xdr:from>
    <xdr:to>
      <xdr:col>20</xdr:col>
      <xdr:colOff>307294</xdr:colOff>
      <xdr:row>73</xdr:row>
      <xdr:rowOff>112940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481052-04BC-8846-9798-85A237554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55</xdr:row>
      <xdr:rowOff>0</xdr:rowOff>
    </xdr:from>
    <xdr:to>
      <xdr:col>28</xdr:col>
      <xdr:colOff>386668</xdr:colOff>
      <xdr:row>73</xdr:row>
      <xdr:rowOff>112939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5AE590-EBF9-7E42-9A83-891CA867B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703035</xdr:colOff>
      <xdr:row>54</xdr:row>
      <xdr:rowOff>158750</xdr:rowOff>
    </xdr:from>
    <xdr:to>
      <xdr:col>35</xdr:col>
      <xdr:colOff>159882</xdr:colOff>
      <xdr:row>73</xdr:row>
      <xdr:rowOff>67582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DA47C7-BCD0-AC42-8C82-82273B2D2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646340</xdr:colOff>
      <xdr:row>54</xdr:row>
      <xdr:rowOff>181429</xdr:rowOff>
    </xdr:from>
    <xdr:to>
      <xdr:col>45</xdr:col>
      <xdr:colOff>328840</xdr:colOff>
      <xdr:row>73</xdr:row>
      <xdr:rowOff>90262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08F35B-DC43-3840-9614-77E0E8691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220193</xdr:colOff>
      <xdr:row>54</xdr:row>
      <xdr:rowOff>148729</xdr:rowOff>
    </xdr:from>
    <xdr:to>
      <xdr:col>55</xdr:col>
      <xdr:colOff>280581</xdr:colOff>
      <xdr:row>75</xdr:row>
      <xdr:rowOff>132907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5F7C11-E837-C743-BAF5-0AAD91C3D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226785</xdr:colOff>
      <xdr:row>75</xdr:row>
      <xdr:rowOff>102054</xdr:rowOff>
    </xdr:from>
    <xdr:to>
      <xdr:col>20</xdr:col>
      <xdr:colOff>566964</xdr:colOff>
      <xdr:row>94</xdr:row>
      <xdr:rowOff>10887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9C53DD-A0E8-C14A-A426-7D7F48DA3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589644</xdr:colOff>
      <xdr:row>74</xdr:row>
      <xdr:rowOff>136072</xdr:rowOff>
    </xdr:from>
    <xdr:to>
      <xdr:col>28</xdr:col>
      <xdr:colOff>759733</xdr:colOff>
      <xdr:row>95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C62139-C323-A14B-AB88-EAD2DE02B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310116</xdr:colOff>
      <xdr:row>75</xdr:row>
      <xdr:rowOff>29535</xdr:rowOff>
    </xdr:from>
    <xdr:to>
      <xdr:col>36</xdr:col>
      <xdr:colOff>723604</xdr:colOff>
      <xdr:row>95</xdr:row>
      <xdr:rowOff>73837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30B91D-1AA9-FB47-A7A4-1EB397AA1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314086</xdr:colOff>
      <xdr:row>75</xdr:row>
      <xdr:rowOff>27311</xdr:rowOff>
    </xdr:from>
    <xdr:to>
      <xdr:col>48</xdr:col>
      <xdr:colOff>600860</xdr:colOff>
      <xdr:row>101</xdr:row>
      <xdr:rowOff>191181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38E9D53-A7C2-6A49-B29B-29A4B6AF0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13656</xdr:colOff>
      <xdr:row>102</xdr:row>
      <xdr:rowOff>163871</xdr:rowOff>
    </xdr:from>
    <xdr:to>
      <xdr:col>48</xdr:col>
      <xdr:colOff>300430</xdr:colOff>
      <xdr:row>129</xdr:row>
      <xdr:rowOff>122903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BD09067-193B-DE49-B666-24FA312ED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792617</xdr:colOff>
      <xdr:row>55</xdr:row>
      <xdr:rowOff>11793</xdr:rowOff>
    </xdr:from>
    <xdr:to>
      <xdr:col>12</xdr:col>
      <xdr:colOff>748393</xdr:colOff>
      <xdr:row>73</xdr:row>
      <xdr:rowOff>124732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08D8B-8164-7247-9010-7C52B09FD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192768</xdr:colOff>
      <xdr:row>55</xdr:row>
      <xdr:rowOff>1</xdr:rowOff>
    </xdr:from>
    <xdr:to>
      <xdr:col>20</xdr:col>
      <xdr:colOff>307294</xdr:colOff>
      <xdr:row>73</xdr:row>
      <xdr:rowOff>112940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7C297-7A5C-B042-B32D-80C19EDEF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55</xdr:row>
      <xdr:rowOff>0</xdr:rowOff>
    </xdr:from>
    <xdr:to>
      <xdr:col>28</xdr:col>
      <xdr:colOff>386668</xdr:colOff>
      <xdr:row>73</xdr:row>
      <xdr:rowOff>112939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89047C-E7CA-3C4B-B966-3D3D2991B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703035</xdr:colOff>
      <xdr:row>54</xdr:row>
      <xdr:rowOff>158750</xdr:rowOff>
    </xdr:from>
    <xdr:to>
      <xdr:col>35</xdr:col>
      <xdr:colOff>159882</xdr:colOff>
      <xdr:row>73</xdr:row>
      <xdr:rowOff>67582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CFFCEF-078F-D04E-8696-FF3CA0E45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646340</xdr:colOff>
      <xdr:row>54</xdr:row>
      <xdr:rowOff>181429</xdr:rowOff>
    </xdr:from>
    <xdr:to>
      <xdr:col>45</xdr:col>
      <xdr:colOff>328840</xdr:colOff>
      <xdr:row>73</xdr:row>
      <xdr:rowOff>90262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8C1E35-4660-0B4E-A520-5F415B11E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220193</xdr:colOff>
      <xdr:row>54</xdr:row>
      <xdr:rowOff>148729</xdr:rowOff>
    </xdr:from>
    <xdr:to>
      <xdr:col>55</xdr:col>
      <xdr:colOff>280581</xdr:colOff>
      <xdr:row>75</xdr:row>
      <xdr:rowOff>132907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E0DFA5-F784-2F44-831B-8E98B5FC8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226785</xdr:colOff>
      <xdr:row>75</xdr:row>
      <xdr:rowOff>102054</xdr:rowOff>
    </xdr:from>
    <xdr:to>
      <xdr:col>20</xdr:col>
      <xdr:colOff>566964</xdr:colOff>
      <xdr:row>94</xdr:row>
      <xdr:rowOff>10887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61DAE9-61F0-8E41-9413-3A2717113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589644</xdr:colOff>
      <xdr:row>74</xdr:row>
      <xdr:rowOff>136072</xdr:rowOff>
    </xdr:from>
    <xdr:to>
      <xdr:col>28</xdr:col>
      <xdr:colOff>759733</xdr:colOff>
      <xdr:row>95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792BCA-AE0E-F544-96A9-6B68E038E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310116</xdr:colOff>
      <xdr:row>75</xdr:row>
      <xdr:rowOff>29535</xdr:rowOff>
    </xdr:from>
    <xdr:to>
      <xdr:col>36</xdr:col>
      <xdr:colOff>723604</xdr:colOff>
      <xdr:row>95</xdr:row>
      <xdr:rowOff>73837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5FFDB5-15C8-204A-B724-DD72EDC5B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314086</xdr:colOff>
      <xdr:row>75</xdr:row>
      <xdr:rowOff>27311</xdr:rowOff>
    </xdr:from>
    <xdr:to>
      <xdr:col>48</xdr:col>
      <xdr:colOff>600860</xdr:colOff>
      <xdr:row>101</xdr:row>
      <xdr:rowOff>191181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BD796E-FB75-CD44-A3A5-9C110200B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13656</xdr:colOff>
      <xdr:row>102</xdr:row>
      <xdr:rowOff>163871</xdr:rowOff>
    </xdr:from>
    <xdr:to>
      <xdr:col>48</xdr:col>
      <xdr:colOff>300430</xdr:colOff>
      <xdr:row>129</xdr:row>
      <xdr:rowOff>122903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428779-CB94-744E-9984-C3F77D99D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792617</xdr:colOff>
      <xdr:row>55</xdr:row>
      <xdr:rowOff>11793</xdr:rowOff>
    </xdr:from>
    <xdr:to>
      <xdr:col>12</xdr:col>
      <xdr:colOff>748393</xdr:colOff>
      <xdr:row>73</xdr:row>
      <xdr:rowOff>124732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57361-474C-FC43-8F73-927E050A8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192768</xdr:colOff>
      <xdr:row>55</xdr:row>
      <xdr:rowOff>1</xdr:rowOff>
    </xdr:from>
    <xdr:to>
      <xdr:col>20</xdr:col>
      <xdr:colOff>307294</xdr:colOff>
      <xdr:row>73</xdr:row>
      <xdr:rowOff>112940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DDC627-FF4F-B14E-AC9C-DB54619EE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55</xdr:row>
      <xdr:rowOff>0</xdr:rowOff>
    </xdr:from>
    <xdr:to>
      <xdr:col>28</xdr:col>
      <xdr:colOff>386668</xdr:colOff>
      <xdr:row>73</xdr:row>
      <xdr:rowOff>112939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7DA8D5-B27A-C64E-AC7F-7DAB69EBE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703035</xdr:colOff>
      <xdr:row>54</xdr:row>
      <xdr:rowOff>158750</xdr:rowOff>
    </xdr:from>
    <xdr:to>
      <xdr:col>35</xdr:col>
      <xdr:colOff>159882</xdr:colOff>
      <xdr:row>73</xdr:row>
      <xdr:rowOff>67582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31B56B-A70B-CF4D-A84F-6EB7CC73A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646340</xdr:colOff>
      <xdr:row>54</xdr:row>
      <xdr:rowOff>181429</xdr:rowOff>
    </xdr:from>
    <xdr:to>
      <xdr:col>45</xdr:col>
      <xdr:colOff>328840</xdr:colOff>
      <xdr:row>73</xdr:row>
      <xdr:rowOff>90262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5AECE8-1C8E-434B-94A3-C97E63225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220193</xdr:colOff>
      <xdr:row>54</xdr:row>
      <xdr:rowOff>148729</xdr:rowOff>
    </xdr:from>
    <xdr:to>
      <xdr:col>55</xdr:col>
      <xdr:colOff>280581</xdr:colOff>
      <xdr:row>75</xdr:row>
      <xdr:rowOff>132907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99D5DE-A659-9C46-AF78-AB30B9092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226785</xdr:colOff>
      <xdr:row>75</xdr:row>
      <xdr:rowOff>102054</xdr:rowOff>
    </xdr:from>
    <xdr:to>
      <xdr:col>20</xdr:col>
      <xdr:colOff>566964</xdr:colOff>
      <xdr:row>94</xdr:row>
      <xdr:rowOff>10887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968249-4AF3-284B-BD09-0BF827AF0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589644</xdr:colOff>
      <xdr:row>74</xdr:row>
      <xdr:rowOff>136072</xdr:rowOff>
    </xdr:from>
    <xdr:to>
      <xdr:col>28</xdr:col>
      <xdr:colOff>759733</xdr:colOff>
      <xdr:row>95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5E6CEB-0A36-B945-ACFA-F01260D12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310116</xdr:colOff>
      <xdr:row>75</xdr:row>
      <xdr:rowOff>29535</xdr:rowOff>
    </xdr:from>
    <xdr:to>
      <xdr:col>36</xdr:col>
      <xdr:colOff>723604</xdr:colOff>
      <xdr:row>95</xdr:row>
      <xdr:rowOff>73837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8E2B16-06CD-1A46-9BDB-CAD52F9B1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314086</xdr:colOff>
      <xdr:row>75</xdr:row>
      <xdr:rowOff>27311</xdr:rowOff>
    </xdr:from>
    <xdr:to>
      <xdr:col>48</xdr:col>
      <xdr:colOff>600860</xdr:colOff>
      <xdr:row>101</xdr:row>
      <xdr:rowOff>191181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C80DA46-AE68-C641-BBA1-5E1B80674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13656</xdr:colOff>
      <xdr:row>102</xdr:row>
      <xdr:rowOff>163871</xdr:rowOff>
    </xdr:from>
    <xdr:to>
      <xdr:col>48</xdr:col>
      <xdr:colOff>300430</xdr:colOff>
      <xdr:row>129</xdr:row>
      <xdr:rowOff>122903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5E684ED-182B-7746-A789-2171EA1DE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792617</xdr:colOff>
      <xdr:row>55</xdr:row>
      <xdr:rowOff>11793</xdr:rowOff>
    </xdr:from>
    <xdr:to>
      <xdr:col>12</xdr:col>
      <xdr:colOff>748393</xdr:colOff>
      <xdr:row>73</xdr:row>
      <xdr:rowOff>124732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F96EF-4052-9342-A261-D52071967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192768</xdr:colOff>
      <xdr:row>55</xdr:row>
      <xdr:rowOff>1</xdr:rowOff>
    </xdr:from>
    <xdr:to>
      <xdr:col>20</xdr:col>
      <xdr:colOff>307294</xdr:colOff>
      <xdr:row>73</xdr:row>
      <xdr:rowOff>112940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9F3A0-7538-1643-B1E9-FC28967F7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55</xdr:row>
      <xdr:rowOff>0</xdr:rowOff>
    </xdr:from>
    <xdr:to>
      <xdr:col>28</xdr:col>
      <xdr:colOff>386668</xdr:colOff>
      <xdr:row>73</xdr:row>
      <xdr:rowOff>112939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B2235-64E9-7948-871A-82BC19122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621098</xdr:colOff>
      <xdr:row>54</xdr:row>
      <xdr:rowOff>158750</xdr:rowOff>
    </xdr:from>
    <xdr:to>
      <xdr:col>35</xdr:col>
      <xdr:colOff>368708</xdr:colOff>
      <xdr:row>73</xdr:row>
      <xdr:rowOff>191182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860CB4-73A3-144E-9152-548111720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646340</xdr:colOff>
      <xdr:row>54</xdr:row>
      <xdr:rowOff>181429</xdr:rowOff>
    </xdr:from>
    <xdr:to>
      <xdr:col>45</xdr:col>
      <xdr:colOff>328840</xdr:colOff>
      <xdr:row>73</xdr:row>
      <xdr:rowOff>90262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EFA44F-3945-804E-A8F8-5A92E1DB7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220193</xdr:colOff>
      <xdr:row>54</xdr:row>
      <xdr:rowOff>148729</xdr:rowOff>
    </xdr:from>
    <xdr:to>
      <xdr:col>55</xdr:col>
      <xdr:colOff>280581</xdr:colOff>
      <xdr:row>75</xdr:row>
      <xdr:rowOff>132907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8E57B8-F21C-DE45-BB78-8DC02E318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226785</xdr:colOff>
      <xdr:row>75</xdr:row>
      <xdr:rowOff>102054</xdr:rowOff>
    </xdr:from>
    <xdr:to>
      <xdr:col>20</xdr:col>
      <xdr:colOff>566964</xdr:colOff>
      <xdr:row>94</xdr:row>
      <xdr:rowOff>10887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B5CC94-A14D-134D-BDFA-6A895C758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589644</xdr:colOff>
      <xdr:row>74</xdr:row>
      <xdr:rowOff>136072</xdr:rowOff>
    </xdr:from>
    <xdr:to>
      <xdr:col>28</xdr:col>
      <xdr:colOff>759733</xdr:colOff>
      <xdr:row>95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4CA9EF-292C-4543-B70B-8451A068D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310116</xdr:colOff>
      <xdr:row>75</xdr:row>
      <xdr:rowOff>29535</xdr:rowOff>
    </xdr:from>
    <xdr:to>
      <xdr:col>36</xdr:col>
      <xdr:colOff>723604</xdr:colOff>
      <xdr:row>95</xdr:row>
      <xdr:rowOff>73837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0F7AE0-5E1D-0B4C-B897-B591AC18B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314086</xdr:colOff>
      <xdr:row>75</xdr:row>
      <xdr:rowOff>27311</xdr:rowOff>
    </xdr:from>
    <xdr:to>
      <xdr:col>48</xdr:col>
      <xdr:colOff>600860</xdr:colOff>
      <xdr:row>101</xdr:row>
      <xdr:rowOff>191181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7DC74BA-701D-4D41-8C29-05963D015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13656</xdr:colOff>
      <xdr:row>102</xdr:row>
      <xdr:rowOff>163871</xdr:rowOff>
    </xdr:from>
    <xdr:to>
      <xdr:col>48</xdr:col>
      <xdr:colOff>300430</xdr:colOff>
      <xdr:row>129</xdr:row>
      <xdr:rowOff>122903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B2C8B4-C02F-174B-9406-AD0AAF669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62815</xdr:colOff>
      <xdr:row>74</xdr:row>
      <xdr:rowOff>14476</xdr:rowOff>
    </xdr:from>
    <xdr:to>
      <xdr:col>12</xdr:col>
      <xdr:colOff>778386</xdr:colOff>
      <xdr:row>89</xdr:row>
      <xdr:rowOff>191183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AC6AE0-F317-05BB-B111-877CE180D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48D3-D2EC-0B48-AC62-8CED0B851441}">
  <dimension ref="A1:BA56"/>
  <sheetViews>
    <sheetView tabSelected="1" workbookViewId="0">
      <selection activeCell="A3" sqref="A3"/>
    </sheetView>
  </sheetViews>
  <sheetFormatPr baseColWidth="10" defaultRowHeight="16" x14ac:dyDescent="0.2"/>
  <cols>
    <col min="1" max="1" width="14" bestFit="1" customWidth="1"/>
    <col min="2" max="2" width="13.83203125" customWidth="1"/>
    <col min="3" max="3" width="16.83203125" bestFit="1" customWidth="1"/>
    <col min="6" max="6" width="2.83203125" customWidth="1"/>
    <col min="12" max="12" width="15.1640625" customWidth="1"/>
    <col min="13" max="13" width="14.33203125" bestFit="1" customWidth="1"/>
    <col min="14" max="14" width="10.83203125" customWidth="1"/>
    <col min="15" max="15" width="11.33203125" bestFit="1" customWidth="1"/>
    <col min="16" max="20" width="11.33203125" customWidth="1"/>
    <col min="23" max="23" width="10.83203125" customWidth="1"/>
    <col min="24" max="25" width="9.33203125" customWidth="1"/>
    <col min="33" max="33" width="10.83203125" customWidth="1"/>
    <col min="47" max="47" width="13.6640625" bestFit="1" customWidth="1"/>
  </cols>
  <sheetData>
    <row r="1" spans="1:53" x14ac:dyDescent="0.2">
      <c r="A1" s="1" t="s">
        <v>0</v>
      </c>
      <c r="H1" s="1" t="s">
        <v>26</v>
      </c>
      <c r="T1" t="s">
        <v>77</v>
      </c>
    </row>
    <row r="2" spans="1:53" x14ac:dyDescent="0.2">
      <c r="A2" t="s">
        <v>1</v>
      </c>
      <c r="B2" s="7">
        <v>250</v>
      </c>
      <c r="C2" t="s">
        <v>27</v>
      </c>
      <c r="T2">
        <v>0</v>
      </c>
    </row>
    <row r="3" spans="1:53" ht="68" x14ac:dyDescent="0.2">
      <c r="A3" s="13" t="s">
        <v>23</v>
      </c>
      <c r="B3" s="17">
        <v>1E-4</v>
      </c>
      <c r="H3" s="12" t="s">
        <v>25</v>
      </c>
      <c r="I3" s="12" t="s">
        <v>29</v>
      </c>
      <c r="J3" s="12" t="s">
        <v>30</v>
      </c>
      <c r="K3" s="12" t="s">
        <v>2</v>
      </c>
      <c r="L3" s="12" t="s">
        <v>31</v>
      </c>
      <c r="M3" s="12" t="s">
        <v>32</v>
      </c>
      <c r="N3" s="12" t="s">
        <v>28</v>
      </c>
      <c r="O3" s="12" t="s">
        <v>33</v>
      </c>
      <c r="P3" s="12" t="s">
        <v>54</v>
      </c>
      <c r="Q3" s="12" t="s">
        <v>41</v>
      </c>
      <c r="R3" s="12" t="s">
        <v>42</v>
      </c>
      <c r="S3" s="12" t="s">
        <v>46</v>
      </c>
      <c r="T3" s="12" t="s">
        <v>76</v>
      </c>
      <c r="U3" s="12" t="s">
        <v>35</v>
      </c>
      <c r="V3" s="12" t="s">
        <v>71</v>
      </c>
      <c r="W3" s="12" t="s">
        <v>34</v>
      </c>
      <c r="X3" s="12" t="s">
        <v>36</v>
      </c>
      <c r="Y3" s="12" t="s">
        <v>48</v>
      </c>
      <c r="Z3" s="12" t="s">
        <v>47</v>
      </c>
      <c r="AA3" s="12" t="s">
        <v>49</v>
      </c>
      <c r="AB3" s="12" t="s">
        <v>50</v>
      </c>
      <c r="AC3" s="12" t="s">
        <v>51</v>
      </c>
      <c r="AD3" s="12" t="s">
        <v>52</v>
      </c>
      <c r="AE3" s="12" t="s">
        <v>53</v>
      </c>
      <c r="AF3" s="12" t="s">
        <v>55</v>
      </c>
      <c r="AG3" s="12" t="s">
        <v>59</v>
      </c>
      <c r="AH3" s="12" t="s">
        <v>60</v>
      </c>
      <c r="AI3" s="12" t="s">
        <v>37</v>
      </c>
      <c r="AJ3" s="12" t="s">
        <v>38</v>
      </c>
      <c r="AK3" s="12" t="s">
        <v>39</v>
      </c>
      <c r="AL3" s="12" t="s">
        <v>70</v>
      </c>
      <c r="AM3" s="12" t="s">
        <v>56</v>
      </c>
      <c r="AN3" s="12" t="s">
        <v>57</v>
      </c>
      <c r="AO3" s="12" t="s">
        <v>58</v>
      </c>
      <c r="AP3" s="12" t="s">
        <v>72</v>
      </c>
      <c r="AQ3" s="12" t="s">
        <v>74</v>
      </c>
      <c r="AR3" s="12" t="s">
        <v>75</v>
      </c>
      <c r="AS3" s="12" t="s">
        <v>61</v>
      </c>
      <c r="AT3" s="12" t="s">
        <v>62</v>
      </c>
      <c r="AU3" s="12" t="s">
        <v>63</v>
      </c>
      <c r="AV3" s="12" t="s">
        <v>64</v>
      </c>
      <c r="AW3" s="12" t="s">
        <v>65</v>
      </c>
      <c r="AX3" s="12" t="s">
        <v>66</v>
      </c>
      <c r="AY3" s="12" t="s">
        <v>67</v>
      </c>
      <c r="AZ3" s="12" t="s">
        <v>68</v>
      </c>
      <c r="BA3" s="12" t="s">
        <v>69</v>
      </c>
    </row>
    <row r="4" spans="1:53" x14ac:dyDescent="0.2">
      <c r="A4" t="s">
        <v>2</v>
      </c>
      <c r="B4" s="7">
        <v>100</v>
      </c>
      <c r="H4" s="10">
        <f>B11</f>
        <v>0</v>
      </c>
      <c r="I4">
        <f>IF($H4 = $B$11, 0, IF($H4 &lt; $B$12, $B$2,0))</f>
        <v>0</v>
      </c>
      <c r="J4">
        <f>IF($H4 = $B$11, 0, IF($H4 &gt;= $B$12, $B$3,0))</f>
        <v>0</v>
      </c>
      <c r="K4">
        <f>-IF($H4 = $B$11, 0, IF($H4 &gt;= $B$12, $B$6,$B$4))</f>
        <v>0</v>
      </c>
      <c r="L4" s="9">
        <f t="shared" ref="L4:L54" si="0">(1+$B$21)^($B$11-H4)</f>
        <v>1</v>
      </c>
      <c r="M4" s="11">
        <f t="shared" ref="M4:M54" si="1">(1 +$B$22) ^ (-(H4 - $B$11))</f>
        <v>1</v>
      </c>
      <c r="N4" s="10">
        <f>SUMPRODUCT(I5:I$54, L5:L$54) / L4</f>
        <v>6249.6548330087844</v>
      </c>
      <c r="O4" s="10">
        <f>SUMPRODUCT(J5:J$54, M5:M$54) / M4</f>
        <v>6.4249865616167721E-4</v>
      </c>
      <c r="P4" s="10">
        <f>SUMPRODUCT(K5:K$54, M5:M$54) / M4</f>
        <v>-3142.3605893651907</v>
      </c>
      <c r="Q4" s="10" cm="1">
        <f t="array" ref="Q4">IF($H4 &gt;= $B$12 - 1, 0, SUMPRODUCT(I5:I$54*L5:L$54, $H5:$H$54 - $H4) / L4 /N4) / (1 + $B$10)</f>
        <v>15.682484231556147</v>
      </c>
      <c r="R4" s="10" cm="1">
        <f t="array" ref="R4">SUMPRODUCT(J5:J$54*L5:L$54, $H5:$H$54 - $H4) / L4 /O4 / (1 + $B$10)</f>
        <v>41.79499589442834</v>
      </c>
      <c r="S4" s="10" cm="1">
        <f t="array" ref="S4">SUMPRODUCT(K5:K$54*M5:M$54, $H5:$H$54 - $H4) / M4 /P4 / (1 + $B$10)</f>
        <v>21.021544843880971</v>
      </c>
      <c r="T4" s="10">
        <v>0</v>
      </c>
      <c r="U4">
        <f>I4+J4+K4</f>
        <v>0</v>
      </c>
      <c r="V4" s="10">
        <f>SUM(N4:P4)</f>
        <v>3107.2948861422497</v>
      </c>
      <c r="W4">
        <f>U4 + B5</f>
        <v>100</v>
      </c>
      <c r="X4" s="10">
        <f>V4 + W4</f>
        <v>3207.2948861422497</v>
      </c>
      <c r="Y4" s="10">
        <f t="shared" ref="Y4:Y54" si="2">N4-Z4</f>
        <v>6249.6548330087844</v>
      </c>
      <c r="Z4">
        <f t="shared" ref="Z4:Z54" si="3">N4 * $B$9</f>
        <v>0</v>
      </c>
      <c r="AA4" s="10">
        <f t="shared" ref="AA4:AA54" si="4">Q4 / $B$17 * Y4</f>
        <v>5297.8439660177801</v>
      </c>
      <c r="AB4" s="10">
        <f t="shared" ref="AB4:AB54" si="5">Y4 - AA4</f>
        <v>951.81086699100433</v>
      </c>
      <c r="AC4" s="10">
        <f t="shared" ref="AC4:AC54" si="6">R4/$B$17 * O4</f>
        <v>1.4515258754839472E-3</v>
      </c>
      <c r="AD4" s="10">
        <f t="shared" ref="AD4:AD54" si="7">O4-AC4</f>
        <v>-8.0902721932227001E-4</v>
      </c>
      <c r="AE4">
        <f>S4/$B$17 * P4</f>
        <v>-3570.6634618910589</v>
      </c>
      <c r="AF4" s="10">
        <f t="shared" ref="AF4:AF54" si="8">P4-AE4</f>
        <v>428.30287252586822</v>
      </c>
      <c r="AG4" s="10">
        <f>AA4 + AC4 + AE4</f>
        <v>1727.1819556525966</v>
      </c>
      <c r="AH4" s="10">
        <f>AF4 + AD4 + AB4</f>
        <v>1380.1129304896533</v>
      </c>
      <c r="AI4">
        <f t="shared" ref="AI4:AI54" si="9">$B$30 * X4</f>
        <v>1979.8116581125</v>
      </c>
      <c r="AJ4">
        <f t="shared" ref="AJ4:AJ54" si="10">X4 * $B$31</f>
        <v>494.95291452812501</v>
      </c>
      <c r="AK4" s="10">
        <f t="shared" ref="AK4:AK54" si="11">X4 - AI4 - AJ4</f>
        <v>732.53031350162462</v>
      </c>
      <c r="AL4" s="4">
        <f>AI4/SUM(AI4:AK4)</f>
        <v>0.61728395061728403</v>
      </c>
      <c r="AM4">
        <f t="shared" ref="AM4:AM54" si="12">AI4 - Z4</f>
        <v>1979.8116581125</v>
      </c>
      <c r="AN4" s="10">
        <f>AJ4 - AG4</f>
        <v>-1232.2290411244717</v>
      </c>
      <c r="AO4" s="10">
        <f>AK4 - AH4</f>
        <v>-647.58261698802869</v>
      </c>
      <c r="AP4" s="10">
        <f>SUM(AN4:AO4)</f>
        <v>-1879.8116581125005</v>
      </c>
      <c r="AQ4" s="9">
        <f>MAX(0, MIN(AN4/AP4, 1))</f>
        <v>0.65550664919364321</v>
      </c>
      <c r="AR4" s="9">
        <f>MAX(0,MIN(AO4/AP4, 1))</f>
        <v>0.34449335080635668</v>
      </c>
      <c r="AS4">
        <f>MAX(MIN($W4,AM4), 0)</f>
        <v>100</v>
      </c>
      <c r="AT4">
        <f>MIN(IF(AP4 &lt; 0, 0, AQ4 * AP4),W4)</f>
        <v>0</v>
      </c>
      <c r="AU4">
        <f>W4-AS4-AT4</f>
        <v>0</v>
      </c>
      <c r="AV4">
        <f>IF(AM4 &gt; W4, 1, AS4 / SUM($AS4:$AU4))</f>
        <v>1</v>
      </c>
      <c r="AW4">
        <f>IF(AV4 = 1, 0, AT4 / SUM($AS4:$AU4))</f>
        <v>0</v>
      </c>
      <c r="AX4">
        <f>IF(AV4 = 1, 0, AU4 / SUM($AS4:$AU4))</f>
        <v>0</v>
      </c>
      <c r="AY4" s="3">
        <f t="shared" ref="AY4:AY54" si="13">AV4*$B$15+$B$16*AW4 + $B$10</f>
        <v>0.06</v>
      </c>
      <c r="AZ4">
        <f t="shared" ref="AZ4:AZ54" si="14">$C$15^2 * AV4^2 + AW4^2 * $C$16^2 + 2 * $C$15 * $C$16 * $D$15 * AV4 * AW4</f>
        <v>3.2399999999999998E-2</v>
      </c>
      <c r="BA4" s="11">
        <f>AY4 - 1/2 * AZ4</f>
        <v>4.3799999999999999E-2</v>
      </c>
    </row>
    <row r="5" spans="1:53" x14ac:dyDescent="0.2">
      <c r="A5" t="s">
        <v>73</v>
      </c>
      <c r="B5" s="7">
        <v>100</v>
      </c>
      <c r="H5" s="10">
        <f>H4+1</f>
        <v>1</v>
      </c>
      <c r="I5">
        <f t="shared" ref="I5:I54" si="15">IF($H5 = $B$11, 0, IF($H5 &lt; $B$12, $B$2,0))</f>
        <v>250</v>
      </c>
      <c r="J5">
        <f t="shared" ref="J5:J54" si="16">IF($H5 = $B$11, 0, IF($H5 &gt;= $B$12, $B$3,0))</f>
        <v>0</v>
      </c>
      <c r="K5">
        <f t="shared" ref="K5:K54" si="17">-IF($H5 = $B$11, 0, IF($H5 &gt;= $B$12, $B$6,$B$4))</f>
        <v>-100</v>
      </c>
      <c r="L5" s="9">
        <f t="shared" si="0"/>
        <v>0.98039215686274506</v>
      </c>
      <c r="M5" s="11">
        <f t="shared" si="1"/>
        <v>0.98039215686274506</v>
      </c>
      <c r="N5" s="10">
        <f>SUMPRODUCT(I6:I$54, L6:L$54) / L5</f>
        <v>6124.6479296689604</v>
      </c>
      <c r="O5" s="10">
        <f>SUMPRODUCT(J6:J$54, M6:M$54) / M5</f>
        <v>6.5534862928491079E-4</v>
      </c>
      <c r="P5" s="10">
        <f>SUMPRODUCT(K6:K$54, M6:M$54) / M5</f>
        <v>-3105.2078011524945</v>
      </c>
      <c r="Q5" s="10" cm="1">
        <f t="array" ref="Q5">IF($H5 &gt;= $B$12 - 1, 0, SUMPRODUCT(I6:I$54*L6:L$54, $H6:$H$54 - $H5) / L5 /N5) / (1 + $B$10)</f>
        <v>15.302211960910602</v>
      </c>
      <c r="R5" s="10" cm="1">
        <f t="array" ref="R5">SUMPRODUCT(J6:J$54*L6:L$54, $H6:$H$54 - $H5) / L5 /O5 / (1 + $B$10)</f>
        <v>40.814603737565591</v>
      </c>
      <c r="S5" s="10" cm="1">
        <f t="array" ref="S5">SUMPRODUCT(K6:K$54*M6:M$54, $H6:$H$54 - $H5) / M5 /P5 / (1 + $B$10)</f>
        <v>20.686557245115111</v>
      </c>
      <c r="T5" s="10">
        <f>-$B$34 * X4 * $T$2</f>
        <v>0</v>
      </c>
      <c r="U5" s="10">
        <f>I5+J5+K5+T5</f>
        <v>150</v>
      </c>
      <c r="V5" s="10">
        <f t="shared" ref="V5:V54" si="18">SUM(N5:P5)</f>
        <v>3019.440783865095</v>
      </c>
      <c r="W5">
        <f>W4 * (1+BA4) + U5</f>
        <v>254.38</v>
      </c>
      <c r="X5" s="10">
        <f t="shared" ref="X5:X32" si="19">V5 + W5</f>
        <v>3273.8207838650951</v>
      </c>
      <c r="Y5" s="10">
        <f t="shared" si="2"/>
        <v>6124.6479296689604</v>
      </c>
      <c r="Z5">
        <f t="shared" si="3"/>
        <v>0</v>
      </c>
      <c r="AA5" s="10">
        <f t="shared" si="4"/>
        <v>5065.9816651754991</v>
      </c>
      <c r="AB5" s="10">
        <f t="shared" si="5"/>
        <v>1058.6662644934613</v>
      </c>
      <c r="AC5" s="10">
        <f t="shared" si="6"/>
        <v>1.4458267359038059E-3</v>
      </c>
      <c r="AD5" s="10">
        <f t="shared" si="7"/>
        <v>-7.9047810661889509E-4</v>
      </c>
      <c r="AE5">
        <f t="shared" ref="AE5:AE54" si="20">S5/$B$17 * P5</f>
        <v>-3472.2194019740055</v>
      </c>
      <c r="AF5" s="10">
        <f t="shared" si="8"/>
        <v>367.01160082151091</v>
      </c>
      <c r="AG5" s="10">
        <f t="shared" ref="AG5:AG54" si="21">AA5 + AC5 + AE5</f>
        <v>1593.7637090282296</v>
      </c>
      <c r="AH5" s="10">
        <f t="shared" ref="AH5:AH54" si="22">AF5 + AD5 + AB5</f>
        <v>1425.6770748368656</v>
      </c>
      <c r="AI5">
        <f t="shared" si="9"/>
        <v>2020.8770270772195</v>
      </c>
      <c r="AJ5">
        <f t="shared" si="10"/>
        <v>505.21925676930488</v>
      </c>
      <c r="AK5" s="10">
        <f t="shared" si="11"/>
        <v>747.72450001857078</v>
      </c>
      <c r="AL5" s="4">
        <f t="shared" ref="AL5:AL54" si="23">AI5/SUM(AI5:AK5)</f>
        <v>0.61728395061728403</v>
      </c>
      <c r="AM5">
        <f t="shared" si="12"/>
        <v>2020.8770270772195</v>
      </c>
      <c r="AN5" s="10">
        <f t="shared" ref="AN5:AO54" si="24">AJ5 - AG5</f>
        <v>-1088.5444522589248</v>
      </c>
      <c r="AO5" s="10">
        <f t="shared" si="24"/>
        <v>-677.95257481829481</v>
      </c>
      <c r="AP5" s="10">
        <f t="shared" ref="AP5:AP54" si="25">SUM(AN5:AO5)</f>
        <v>-1766.4970270772196</v>
      </c>
      <c r="AQ5" s="9">
        <f t="shared" ref="AQ5:AQ54" si="26">MAX(0, MIN(AN5/AP5, 1))</f>
        <v>0.61621640771170161</v>
      </c>
      <c r="AR5" s="9">
        <f t="shared" ref="AR5:AR54" si="27">MAX(0,MIN(AO5/AP5, 1))</f>
        <v>0.38378359228829834</v>
      </c>
      <c r="AS5">
        <f t="shared" ref="AS5:AS17" si="28">MAX(MIN($W5,AM5), 0)</f>
        <v>254.38</v>
      </c>
      <c r="AT5">
        <f t="shared" ref="AT5:AT17" si="29">MIN(IF(AP5 &lt; 0, 0, AQ5 * AP5),W5)</f>
        <v>0</v>
      </c>
      <c r="AU5">
        <f t="shared" ref="AU5:AU17" si="30">W5-AS5-AT5</f>
        <v>0</v>
      </c>
      <c r="AV5">
        <f t="shared" ref="AV5:AV54" si="31">IF(AM5 &gt; W5, 1, AS5 / SUM($AS5:$AU5))</f>
        <v>1</v>
      </c>
      <c r="AW5">
        <f t="shared" ref="AW5:AW54" si="32">IF(AV5 = 1, 0, AT5 / SUM($AS5:$AU5))</f>
        <v>0</v>
      </c>
      <c r="AX5">
        <f t="shared" ref="AX5:AX54" si="33">IF(AV5 = 1, 0, AU5 / SUM($AS5:$AU5))</f>
        <v>0</v>
      </c>
      <c r="AY5" s="3">
        <f t="shared" si="13"/>
        <v>0.06</v>
      </c>
      <c r="AZ5">
        <f t="shared" si="14"/>
        <v>3.2399999999999998E-2</v>
      </c>
      <c r="BA5" s="11">
        <f t="shared" ref="BA5:BA54" si="34">AY5 - 1/2 * AZ5</f>
        <v>4.3799999999999999E-2</v>
      </c>
    </row>
    <row r="6" spans="1:53" x14ac:dyDescent="0.2">
      <c r="A6" t="s">
        <v>22</v>
      </c>
      <c r="B6" s="7">
        <f>B4</f>
        <v>100</v>
      </c>
      <c r="H6" s="10">
        <f t="shared" ref="H6:H54" si="35">H5+1</f>
        <v>2</v>
      </c>
      <c r="I6">
        <f t="shared" si="15"/>
        <v>250</v>
      </c>
      <c r="J6">
        <f t="shared" si="16"/>
        <v>0</v>
      </c>
      <c r="K6">
        <f t="shared" si="17"/>
        <v>-100</v>
      </c>
      <c r="L6" s="9">
        <f t="shared" si="0"/>
        <v>0.96116878123798544</v>
      </c>
      <c r="M6" s="11">
        <f t="shared" si="1"/>
        <v>0.96116878123798544</v>
      </c>
      <c r="N6" s="10">
        <f>SUMPRODUCT(I7:I$54, L7:L$54) / L6</f>
        <v>5997.1408882623391</v>
      </c>
      <c r="O6" s="10">
        <f>SUMPRODUCT(J7:J$54, M7:M$54) / M6</f>
        <v>6.6845560187060889E-4</v>
      </c>
      <c r="P6" s="10">
        <f>SUMPRODUCT(K7:K$54, M7:M$54) / M6</f>
        <v>-3067.3119571755451</v>
      </c>
      <c r="Q6" s="10" cm="1">
        <f t="array" ref="Q6">IF($H6 &gt;= $B$12 - 1, 0, SUMPRODUCT(I7:I$54*L7:L$54, $H7:$H$54 - $H6) / L6 /N6) / (1 + $B$10)</f>
        <v>14.918846790360565</v>
      </c>
      <c r="R6" s="10" cm="1">
        <f t="array" ref="R6">SUMPRODUCT(J7:J$54*L7:L$54, $H7:$H$54 - $H6) / L6 /O6 / (1 + $B$10)</f>
        <v>39.834211580702856</v>
      </c>
      <c r="S6" s="10" cm="1">
        <f t="array" ref="S6">SUMPRODUCT(K7:K$54*M7:M$54, $H7:$H$54 - $H6) / M6 /P6 / (1 + $B$10)</f>
        <v>20.348622241726844</v>
      </c>
      <c r="T6" s="10">
        <f t="shared" ref="T6:T54" si="36">-$B$34 * X5 * $T$2</f>
        <v>0</v>
      </c>
      <c r="U6" s="10">
        <f t="shared" ref="U6:U54" si="37">I6+J6+K6+T6</f>
        <v>150</v>
      </c>
      <c r="V6" s="10">
        <f t="shared" si="18"/>
        <v>2929.829599542396</v>
      </c>
      <c r="W6">
        <f t="shared" ref="W6:W24" si="38">W5 * (1+BA5) + U6</f>
        <v>415.52184399999999</v>
      </c>
      <c r="X6" s="10">
        <f t="shared" si="19"/>
        <v>3345.3514435423958</v>
      </c>
      <c r="Y6" s="10">
        <f t="shared" si="2"/>
        <v>5997.1408882623391</v>
      </c>
      <c r="Z6">
        <f t="shared" si="3"/>
        <v>0</v>
      </c>
      <c r="AA6" s="10">
        <f t="shared" si="4"/>
        <v>4836.2392482266332</v>
      </c>
      <c r="AB6" s="10">
        <f t="shared" si="5"/>
        <v>1160.9016400357059</v>
      </c>
      <c r="AC6" s="10">
        <f t="shared" si="6"/>
        <v>1.4393190203902651E-3</v>
      </c>
      <c r="AD6" s="10">
        <f t="shared" si="7"/>
        <v>-7.7086341851965621E-4</v>
      </c>
      <c r="AE6">
        <f t="shared" si="20"/>
        <v>-3373.8147196809182</v>
      </c>
      <c r="AF6" s="10">
        <f t="shared" si="8"/>
        <v>306.50276250537308</v>
      </c>
      <c r="AG6" s="10">
        <f t="shared" si="21"/>
        <v>1462.4259678647354</v>
      </c>
      <c r="AH6" s="10">
        <f t="shared" si="22"/>
        <v>1467.4036316776605</v>
      </c>
      <c r="AI6">
        <f t="shared" si="9"/>
        <v>2065.0317552730839</v>
      </c>
      <c r="AJ6">
        <f t="shared" si="10"/>
        <v>516.25793881827099</v>
      </c>
      <c r="AK6" s="10">
        <f t="shared" si="11"/>
        <v>764.0617494510409</v>
      </c>
      <c r="AL6" s="4">
        <f t="shared" si="23"/>
        <v>0.61728395061728403</v>
      </c>
      <c r="AM6">
        <f t="shared" si="12"/>
        <v>2065.0317552730839</v>
      </c>
      <c r="AN6" s="10">
        <f t="shared" si="24"/>
        <v>-946.16802904646443</v>
      </c>
      <c r="AO6" s="10">
        <f t="shared" si="24"/>
        <v>-703.34188222661965</v>
      </c>
      <c r="AP6" s="10">
        <f t="shared" si="25"/>
        <v>-1649.5099112730841</v>
      </c>
      <c r="AQ6" s="9">
        <f t="shared" si="26"/>
        <v>0.57360554342848191</v>
      </c>
      <c r="AR6" s="9">
        <f t="shared" si="27"/>
        <v>0.42639445657151803</v>
      </c>
      <c r="AS6">
        <f t="shared" si="28"/>
        <v>415.52184399999999</v>
      </c>
      <c r="AT6">
        <f t="shared" si="29"/>
        <v>0</v>
      </c>
      <c r="AU6">
        <f t="shared" si="30"/>
        <v>0</v>
      </c>
      <c r="AV6">
        <f t="shared" si="31"/>
        <v>1</v>
      </c>
      <c r="AW6">
        <f t="shared" si="32"/>
        <v>0</v>
      </c>
      <c r="AX6">
        <f t="shared" si="33"/>
        <v>0</v>
      </c>
      <c r="AY6" s="3">
        <f t="shared" si="13"/>
        <v>0.06</v>
      </c>
      <c r="AZ6">
        <f t="shared" si="14"/>
        <v>3.2399999999999998E-2</v>
      </c>
      <c r="BA6" s="11">
        <f t="shared" si="34"/>
        <v>4.3799999999999999E-2</v>
      </c>
    </row>
    <row r="7" spans="1:53" x14ac:dyDescent="0.2">
      <c r="A7" t="s">
        <v>16</v>
      </c>
      <c r="B7" s="7">
        <v>2</v>
      </c>
      <c r="H7" s="10">
        <f t="shared" si="35"/>
        <v>3</v>
      </c>
      <c r="I7">
        <f t="shared" si="15"/>
        <v>250</v>
      </c>
      <c r="J7">
        <f t="shared" si="16"/>
        <v>0</v>
      </c>
      <c r="K7">
        <f t="shared" si="17"/>
        <v>-100</v>
      </c>
      <c r="L7" s="9">
        <f t="shared" si="0"/>
        <v>0.94232233454704462</v>
      </c>
      <c r="M7" s="11">
        <f t="shared" si="1"/>
        <v>0.94232233454704462</v>
      </c>
      <c r="N7" s="10">
        <f>SUMPRODUCT(I8:I$54, L8:L$54) / L7</f>
        <v>5867.0837060275853</v>
      </c>
      <c r="O7" s="10">
        <f>SUMPRODUCT(J8:J$54, M8:M$54) / M7</f>
        <v>6.8182471390802106E-4</v>
      </c>
      <c r="P7" s="10">
        <f>SUMPRODUCT(K8:K$54, M8:M$54) / M7</f>
        <v>-3028.6581963190552</v>
      </c>
      <c r="Q7" s="10" cm="1">
        <f t="array" ref="Q7">IF($H7 &gt;= $B$12 - 1, 0, SUMPRODUCT(I8:I$54*L8:L$54, $H8:$H$54 - $H7) / L7 /N7) / (1 + $B$10)</f>
        <v>14.532380650744599</v>
      </c>
      <c r="R7" s="10" cm="1">
        <f t="array" ref="R7">SUMPRODUCT(J8:J$54*L8:L$54, $H8:$H$54 - $H7) / L7 /O7 / (1 + $B$10)</f>
        <v>38.8538194238401</v>
      </c>
      <c r="S7" s="10" cm="1">
        <f t="array" ref="S7">SUMPRODUCT(K8:K$54*M8:M$54, $H8:$H$54 - $H7) / M7 /P7 / (1 + $B$10)</f>
        <v>20.007728794504022</v>
      </c>
      <c r="T7" s="10">
        <f t="shared" si="36"/>
        <v>0</v>
      </c>
      <c r="U7" s="10">
        <f t="shared" si="37"/>
        <v>150</v>
      </c>
      <c r="V7" s="10">
        <f t="shared" si="18"/>
        <v>2838.426191533244</v>
      </c>
      <c r="W7">
        <f t="shared" si="38"/>
        <v>583.72170076719999</v>
      </c>
      <c r="X7" s="10">
        <f t="shared" si="19"/>
        <v>3422.1478923004443</v>
      </c>
      <c r="Y7" s="10">
        <f t="shared" si="2"/>
        <v>5867.0837060275853</v>
      </c>
      <c r="Z7">
        <f t="shared" si="3"/>
        <v>0</v>
      </c>
      <c r="AA7" s="10">
        <f t="shared" si="4"/>
        <v>4608.7942554472538</v>
      </c>
      <c r="AB7" s="10">
        <f t="shared" si="5"/>
        <v>1258.2894505803315</v>
      </c>
      <c r="AC7" s="10">
        <f t="shared" si="6"/>
        <v>1.4319726655618208E-3</v>
      </c>
      <c r="AD7" s="10">
        <f t="shared" si="7"/>
        <v>-7.5014795165379976E-4</v>
      </c>
      <c r="AE7">
        <f t="shared" si="20"/>
        <v>-3275.4903677407228</v>
      </c>
      <c r="AF7" s="10">
        <f t="shared" si="8"/>
        <v>246.83217142166768</v>
      </c>
      <c r="AG7" s="10">
        <f t="shared" si="21"/>
        <v>1333.3053196791961</v>
      </c>
      <c r="AH7" s="10">
        <f t="shared" si="22"/>
        <v>1505.1208718540474</v>
      </c>
      <c r="AI7">
        <f t="shared" si="9"/>
        <v>2112.4369705558302</v>
      </c>
      <c r="AJ7">
        <f t="shared" si="10"/>
        <v>528.10924263895754</v>
      </c>
      <c r="AK7" s="10">
        <f t="shared" si="11"/>
        <v>781.60167910565656</v>
      </c>
      <c r="AL7" s="4">
        <f t="shared" si="23"/>
        <v>0.61728395061728403</v>
      </c>
      <c r="AM7">
        <f t="shared" si="12"/>
        <v>2112.4369705558302</v>
      </c>
      <c r="AN7" s="10">
        <f t="shared" si="24"/>
        <v>-805.19607704023861</v>
      </c>
      <c r="AO7" s="10">
        <f t="shared" si="24"/>
        <v>-723.51919274839088</v>
      </c>
      <c r="AP7" s="10">
        <f t="shared" si="25"/>
        <v>-1528.7152697886295</v>
      </c>
      <c r="AQ7" s="9">
        <f t="shared" si="26"/>
        <v>0.52671422399775625</v>
      </c>
      <c r="AR7" s="9">
        <f t="shared" si="27"/>
        <v>0.47328577600224375</v>
      </c>
      <c r="AS7">
        <f t="shared" si="28"/>
        <v>583.72170076719999</v>
      </c>
      <c r="AT7">
        <f t="shared" si="29"/>
        <v>0</v>
      </c>
      <c r="AU7">
        <f t="shared" si="30"/>
        <v>0</v>
      </c>
      <c r="AV7">
        <f t="shared" si="31"/>
        <v>1</v>
      </c>
      <c r="AW7">
        <f t="shared" si="32"/>
        <v>0</v>
      </c>
      <c r="AX7">
        <f t="shared" si="33"/>
        <v>0</v>
      </c>
      <c r="AY7" s="3">
        <f t="shared" si="13"/>
        <v>0.06</v>
      </c>
      <c r="AZ7">
        <f t="shared" si="14"/>
        <v>3.2399999999999998E-2</v>
      </c>
      <c r="BA7" s="11">
        <f t="shared" si="34"/>
        <v>4.3799999999999999E-2</v>
      </c>
    </row>
    <row r="8" spans="1:53" x14ac:dyDescent="0.2">
      <c r="H8" s="10">
        <f t="shared" si="35"/>
        <v>4</v>
      </c>
      <c r="I8">
        <f t="shared" si="15"/>
        <v>250</v>
      </c>
      <c r="J8">
        <f t="shared" si="16"/>
        <v>0</v>
      </c>
      <c r="K8">
        <f t="shared" si="17"/>
        <v>-100</v>
      </c>
      <c r="L8" s="9">
        <f t="shared" si="0"/>
        <v>0.9238454260265142</v>
      </c>
      <c r="M8" s="11">
        <f t="shared" si="1"/>
        <v>0.9238454260265142</v>
      </c>
      <c r="N8" s="10">
        <f>SUMPRODUCT(I9:I$54, L9:L$54) / L8</f>
        <v>5734.4253801481382</v>
      </c>
      <c r="O8" s="10">
        <f>SUMPRODUCT(J9:J$54, M9:M$54) / M8</f>
        <v>6.9546120818618159E-4</v>
      </c>
      <c r="P8" s="10">
        <f>SUMPRODUCT(K9:K$54, M9:M$54) / M8</f>
        <v>-2989.2313602454374</v>
      </c>
      <c r="Q8" s="10" cm="1">
        <f t="array" ref="Q8">IF($H8 &gt;= $B$12 - 1, 0, SUMPRODUCT(I9:I$54*L9:L$54, $H9:$H$54 - $H8) / L8 /N8) / (1 + $B$10)</f>
        <v>14.142805689829556</v>
      </c>
      <c r="R8" s="10" cm="1">
        <f t="array" ref="R8">SUMPRODUCT(J9:J$54*L9:L$54, $H9:$H$54 - $H8) / L8 /O8 / (1 + $B$10)</f>
        <v>37.873427266977352</v>
      </c>
      <c r="S8" s="10" cm="1">
        <f t="array" ref="S8">SUMPRODUCT(K9:K$54*M9:M$54, $H9:$H$54 - $H8) / M8 /P8 / (1 + $B$10)</f>
        <v>19.663866044186737</v>
      </c>
      <c r="T8" s="10">
        <f t="shared" si="36"/>
        <v>0</v>
      </c>
      <c r="U8" s="10">
        <f t="shared" si="37"/>
        <v>150</v>
      </c>
      <c r="V8" s="10">
        <f t="shared" si="18"/>
        <v>2745.1947153639089</v>
      </c>
      <c r="W8">
        <f t="shared" si="38"/>
        <v>759.28871126080344</v>
      </c>
      <c r="X8" s="10">
        <f t="shared" si="19"/>
        <v>3504.4834266247126</v>
      </c>
      <c r="Y8" s="10">
        <f t="shared" si="2"/>
        <v>5734.4253801481382</v>
      </c>
      <c r="Z8">
        <f t="shared" si="3"/>
        <v>0</v>
      </c>
      <c r="AA8" s="10">
        <f t="shared" si="4"/>
        <v>4383.8304807709246</v>
      </c>
      <c r="AB8" s="10">
        <f t="shared" si="5"/>
        <v>1350.5948993772136</v>
      </c>
      <c r="AC8" s="10">
        <f t="shared" si="6"/>
        <v>1.4237567289320833E-3</v>
      </c>
      <c r="AD8" s="10">
        <f t="shared" si="7"/>
        <v>-7.282955207459017E-4</v>
      </c>
      <c r="AE8">
        <f t="shared" si="20"/>
        <v>-3177.288921240453</v>
      </c>
      <c r="AF8" s="10">
        <f t="shared" si="8"/>
        <v>188.05756099501559</v>
      </c>
      <c r="AG8" s="10">
        <f t="shared" si="21"/>
        <v>1206.542983287201</v>
      </c>
      <c r="AH8" s="10">
        <f t="shared" si="22"/>
        <v>1538.6517320767084</v>
      </c>
      <c r="AI8">
        <f t="shared" si="9"/>
        <v>2163.2613744596993</v>
      </c>
      <c r="AJ8">
        <f t="shared" si="10"/>
        <v>540.81534361492481</v>
      </c>
      <c r="AK8" s="10">
        <f t="shared" si="11"/>
        <v>800.40670855008852</v>
      </c>
      <c r="AL8" s="4">
        <f t="shared" si="23"/>
        <v>0.61728395061728403</v>
      </c>
      <c r="AM8">
        <f t="shared" si="12"/>
        <v>2163.2613744596993</v>
      </c>
      <c r="AN8" s="10">
        <f t="shared" si="24"/>
        <v>-665.72763967227615</v>
      </c>
      <c r="AO8" s="10">
        <f t="shared" si="24"/>
        <v>-738.24502352661989</v>
      </c>
      <c r="AP8" s="10">
        <f t="shared" si="25"/>
        <v>-1403.972663198896</v>
      </c>
      <c r="AQ8" s="9">
        <f t="shared" si="26"/>
        <v>0.47417421800467408</v>
      </c>
      <c r="AR8" s="9">
        <f t="shared" si="27"/>
        <v>0.52582578199532592</v>
      </c>
      <c r="AS8">
        <f t="shared" si="28"/>
        <v>759.28871126080344</v>
      </c>
      <c r="AT8">
        <f t="shared" si="29"/>
        <v>0</v>
      </c>
      <c r="AU8">
        <f t="shared" si="30"/>
        <v>0</v>
      </c>
      <c r="AV8">
        <f t="shared" si="31"/>
        <v>1</v>
      </c>
      <c r="AW8">
        <f t="shared" si="32"/>
        <v>0</v>
      </c>
      <c r="AX8">
        <f t="shared" si="33"/>
        <v>0</v>
      </c>
      <c r="AY8" s="3">
        <f t="shared" si="13"/>
        <v>0.06</v>
      </c>
      <c r="AZ8">
        <f t="shared" si="14"/>
        <v>3.2399999999999998E-2</v>
      </c>
      <c r="BA8" s="11">
        <f t="shared" si="34"/>
        <v>4.3799999999999999E-2</v>
      </c>
    </row>
    <row r="9" spans="1:53" x14ac:dyDescent="0.2">
      <c r="A9" t="s">
        <v>3</v>
      </c>
      <c r="B9" s="7">
        <v>0</v>
      </c>
      <c r="H9" s="10">
        <f t="shared" si="35"/>
        <v>5</v>
      </c>
      <c r="I9">
        <f t="shared" si="15"/>
        <v>250</v>
      </c>
      <c r="J9">
        <f t="shared" si="16"/>
        <v>0</v>
      </c>
      <c r="K9">
        <f t="shared" si="17"/>
        <v>-100</v>
      </c>
      <c r="L9" s="9">
        <f t="shared" si="0"/>
        <v>0.90573080982991594</v>
      </c>
      <c r="M9" s="11">
        <f t="shared" si="1"/>
        <v>0.90573080982991594</v>
      </c>
      <c r="N9" s="10">
        <f>SUMPRODUCT(I10:I$54, L10:L$54) / L9</f>
        <v>5599.1138877511012</v>
      </c>
      <c r="O9" s="10">
        <f>SUMPRODUCT(J10:J$54, M10:M$54) / M9</f>
        <v>7.0937043234990519E-4</v>
      </c>
      <c r="P9" s="10">
        <f>SUMPRODUCT(K10:K$54, M10:M$54) / M9</f>
        <v>-2949.0159874503452</v>
      </c>
      <c r="Q9" s="10" cm="1">
        <f t="array" ref="Q9">IF($H9 &gt;= $B$12 - 1, 0, SUMPRODUCT(I10:I$54*L10:L$54, $H10:$H$54 - $H9) / L9 /N9) / (1 + $B$10)</f>
        <v>13.750114274407412</v>
      </c>
      <c r="R9" s="10" cm="1">
        <f t="array" ref="R9">SUMPRODUCT(J10:J$54*L10:L$54, $H10:$H$54 - $H9) / L9 /O9 / (1 + $B$10)</f>
        <v>36.893035110114603</v>
      </c>
      <c r="S9" s="10" cm="1">
        <f t="array" ref="S9">SUMPRODUCT(K10:K$54*M10:M$54, $H10:$H$54 - $H9) / M9 /P9 / (1 + $B$10)</f>
        <v>19.317023314211887</v>
      </c>
      <c r="T9" s="10">
        <f t="shared" si="36"/>
        <v>0</v>
      </c>
      <c r="U9" s="10">
        <f t="shared" si="37"/>
        <v>150</v>
      </c>
      <c r="V9" s="10">
        <f t="shared" si="18"/>
        <v>2650.0986096711886</v>
      </c>
      <c r="W9">
        <f t="shared" si="38"/>
        <v>942.54555681402667</v>
      </c>
      <c r="X9" s="10">
        <f t="shared" si="19"/>
        <v>3592.6441664852155</v>
      </c>
      <c r="Y9" s="10">
        <f t="shared" si="2"/>
        <v>5599.1138877511012</v>
      </c>
      <c r="Z9">
        <f t="shared" si="3"/>
        <v>0</v>
      </c>
      <c r="AA9" s="10">
        <f t="shared" si="4"/>
        <v>4161.5381509188755</v>
      </c>
      <c r="AB9" s="10">
        <f t="shared" si="5"/>
        <v>1437.5757368322256</v>
      </c>
      <c r="AC9" s="10">
        <f t="shared" si="6"/>
        <v>1.4146393657709312E-3</v>
      </c>
      <c r="AD9" s="10">
        <f t="shared" si="7"/>
        <v>-7.0526893342102602E-4</v>
      </c>
      <c r="AE9">
        <f t="shared" si="20"/>
        <v>-3079.2546261384814</v>
      </c>
      <c r="AF9" s="10">
        <f t="shared" si="8"/>
        <v>130.23863868813623</v>
      </c>
      <c r="AG9" s="10">
        <f t="shared" si="21"/>
        <v>1082.2849394197601</v>
      </c>
      <c r="AH9" s="10">
        <f t="shared" si="22"/>
        <v>1567.8136702514284</v>
      </c>
      <c r="AI9">
        <f t="shared" si="9"/>
        <v>2217.6815842501333</v>
      </c>
      <c r="AJ9">
        <f t="shared" si="10"/>
        <v>554.42039606253331</v>
      </c>
      <c r="AK9" s="10">
        <f t="shared" si="11"/>
        <v>820.5421861725489</v>
      </c>
      <c r="AL9" s="4">
        <f t="shared" si="23"/>
        <v>0.61728395061728403</v>
      </c>
      <c r="AM9">
        <f t="shared" si="12"/>
        <v>2217.6815842501333</v>
      </c>
      <c r="AN9" s="10">
        <f t="shared" si="24"/>
        <v>-527.86454335722681</v>
      </c>
      <c r="AO9" s="10">
        <f t="shared" si="24"/>
        <v>-747.27148407887955</v>
      </c>
      <c r="AP9" s="10">
        <f t="shared" si="25"/>
        <v>-1275.1360274361064</v>
      </c>
      <c r="AQ9" s="9">
        <f t="shared" si="26"/>
        <v>0.4139672411410058</v>
      </c>
      <c r="AR9" s="9">
        <f t="shared" si="27"/>
        <v>0.5860327588589942</v>
      </c>
      <c r="AS9">
        <f t="shared" si="28"/>
        <v>942.54555681402667</v>
      </c>
      <c r="AT9">
        <f t="shared" si="29"/>
        <v>0</v>
      </c>
      <c r="AU9">
        <f t="shared" si="30"/>
        <v>0</v>
      </c>
      <c r="AV9">
        <f t="shared" si="31"/>
        <v>1</v>
      </c>
      <c r="AW9">
        <f t="shared" si="32"/>
        <v>0</v>
      </c>
      <c r="AX9">
        <f t="shared" si="33"/>
        <v>0</v>
      </c>
      <c r="AY9" s="3">
        <f t="shared" si="13"/>
        <v>0.06</v>
      </c>
      <c r="AZ9">
        <f t="shared" si="14"/>
        <v>3.2399999999999998E-2</v>
      </c>
      <c r="BA9" s="11">
        <f t="shared" si="34"/>
        <v>4.3799999999999999E-2</v>
      </c>
    </row>
    <row r="10" spans="1:53" x14ac:dyDescent="0.2">
      <c r="A10" t="s">
        <v>4</v>
      </c>
      <c r="B10" s="6">
        <v>0.02</v>
      </c>
      <c r="C10" t="s">
        <v>24</v>
      </c>
      <c r="H10" s="10">
        <f t="shared" si="35"/>
        <v>6</v>
      </c>
      <c r="I10">
        <f t="shared" si="15"/>
        <v>250</v>
      </c>
      <c r="J10">
        <f t="shared" si="16"/>
        <v>0</v>
      </c>
      <c r="K10">
        <f t="shared" si="17"/>
        <v>-100</v>
      </c>
      <c r="L10" s="9">
        <f t="shared" si="0"/>
        <v>0.88797138218619198</v>
      </c>
      <c r="M10" s="11">
        <f t="shared" si="1"/>
        <v>0.88797138218619198</v>
      </c>
      <c r="N10" s="10">
        <f>SUMPRODUCT(I11:I$54, L11:L$54) / L10</f>
        <v>5461.0961655061237</v>
      </c>
      <c r="O10" s="10">
        <f>SUMPRODUCT(J11:J$54, M11:M$54) / M10</f>
        <v>7.2355784099690341E-4</v>
      </c>
      <c r="P10" s="10">
        <f>SUMPRODUCT(K11:K$54, M11:M$54) / M10</f>
        <v>-2907.9963071993529</v>
      </c>
      <c r="Q10" s="10" cm="1">
        <f t="array" ref="Q10">IF($H10 &gt;= $B$12 - 1, 0, SUMPRODUCT(I11:I$54*L11:L$54, $H11:$H$54 - $H10) / L10 /N10) / (1 + $B$10)</f>
        <v>13.354298992339599</v>
      </c>
      <c r="R10" s="10" cm="1">
        <f t="array" ref="R10">SUMPRODUCT(J11:J$54*L11:L$54, $H11:$H$54 - $H10) / L10 /O10 / (1 + $B$10)</f>
        <v>35.912642953251854</v>
      </c>
      <c r="S10" s="10" cm="1">
        <f t="array" ref="S10">SUMPRODUCT(K11:K$54*M11:M$54, $H11:$H$54 - $H10) / M10 /P10 / (1 + $B$10)</f>
        <v>18.967190113423221</v>
      </c>
      <c r="T10" s="10">
        <f t="shared" si="36"/>
        <v>0</v>
      </c>
      <c r="U10" s="10">
        <f t="shared" si="37"/>
        <v>150</v>
      </c>
      <c r="V10" s="10">
        <f t="shared" si="18"/>
        <v>2553.1005818646122</v>
      </c>
      <c r="W10">
        <f t="shared" si="38"/>
        <v>1133.8290522024811</v>
      </c>
      <c r="X10" s="10">
        <f t="shared" si="19"/>
        <v>3686.9296340670935</v>
      </c>
      <c r="Y10" s="10">
        <f t="shared" si="2"/>
        <v>5461.0961655061237</v>
      </c>
      <c r="Z10">
        <f t="shared" si="3"/>
        <v>0</v>
      </c>
      <c r="AA10" s="10">
        <f t="shared" si="4"/>
        <v>3942.1141091939498</v>
      </c>
      <c r="AB10" s="10">
        <f t="shared" si="5"/>
        <v>1518.9820563121739</v>
      </c>
      <c r="AC10" s="10">
        <f t="shared" si="6"/>
        <v>1.4045878053917603E-3</v>
      </c>
      <c r="AD10" s="10">
        <f t="shared" si="7"/>
        <v>-6.8102996439485693E-4</v>
      </c>
      <c r="AE10">
        <f t="shared" si="20"/>
        <v>-2981.4334490693409</v>
      </c>
      <c r="AF10" s="10">
        <f t="shared" si="8"/>
        <v>73.437141869987954</v>
      </c>
      <c r="AG10" s="10">
        <f t="shared" si="21"/>
        <v>960.68206471241456</v>
      </c>
      <c r="AH10" s="10">
        <f t="shared" si="22"/>
        <v>1592.4185171521974</v>
      </c>
      <c r="AI10">
        <f t="shared" si="9"/>
        <v>2275.8824901648727</v>
      </c>
      <c r="AJ10">
        <f t="shared" si="10"/>
        <v>568.97062254121818</v>
      </c>
      <c r="AK10" s="10">
        <f t="shared" si="11"/>
        <v>842.07652136100262</v>
      </c>
      <c r="AL10" s="4">
        <f t="shared" si="23"/>
        <v>0.61728395061728403</v>
      </c>
      <c r="AM10">
        <f t="shared" si="12"/>
        <v>2275.8824901648727</v>
      </c>
      <c r="AN10" s="10">
        <f t="shared" si="24"/>
        <v>-391.71144217119638</v>
      </c>
      <c r="AO10" s="10">
        <f t="shared" si="24"/>
        <v>-750.34199579119479</v>
      </c>
      <c r="AP10" s="10">
        <f t="shared" si="25"/>
        <v>-1142.0534379623912</v>
      </c>
      <c r="AQ10" s="9">
        <f t="shared" si="26"/>
        <v>0.3429887158958807</v>
      </c>
      <c r="AR10" s="9">
        <f t="shared" si="27"/>
        <v>0.65701128410411935</v>
      </c>
      <c r="AS10">
        <f t="shared" si="28"/>
        <v>1133.8290522024811</v>
      </c>
      <c r="AT10">
        <f t="shared" si="29"/>
        <v>0</v>
      </c>
      <c r="AU10">
        <f t="shared" si="30"/>
        <v>0</v>
      </c>
      <c r="AV10">
        <f t="shared" si="31"/>
        <v>1</v>
      </c>
      <c r="AW10">
        <f t="shared" si="32"/>
        <v>0</v>
      </c>
      <c r="AX10">
        <f t="shared" si="33"/>
        <v>0</v>
      </c>
      <c r="AY10" s="3">
        <f t="shared" si="13"/>
        <v>0.06</v>
      </c>
      <c r="AZ10">
        <f t="shared" si="14"/>
        <v>3.2399999999999998E-2</v>
      </c>
      <c r="BA10" s="11">
        <f t="shared" si="34"/>
        <v>4.3799999999999999E-2</v>
      </c>
    </row>
    <row r="11" spans="1:53" x14ac:dyDescent="0.2">
      <c r="A11" t="s">
        <v>20</v>
      </c>
      <c r="B11" s="8">
        <v>0</v>
      </c>
      <c r="H11" s="10">
        <f t="shared" si="35"/>
        <v>7</v>
      </c>
      <c r="I11">
        <f t="shared" si="15"/>
        <v>250</v>
      </c>
      <c r="J11">
        <f t="shared" si="16"/>
        <v>0</v>
      </c>
      <c r="K11">
        <f t="shared" si="17"/>
        <v>-100</v>
      </c>
      <c r="L11" s="9">
        <f t="shared" si="0"/>
        <v>0.87056017861391388</v>
      </c>
      <c r="M11" s="11">
        <f t="shared" si="1"/>
        <v>0.87056017861391388</v>
      </c>
      <c r="N11" s="10">
        <f>SUMPRODUCT(I12:I$54, L12:L$54) / L11</f>
        <v>5320.3180888162451</v>
      </c>
      <c r="O11" s="10">
        <f>SUMPRODUCT(J12:J$54, M12:M$54) / M11</f>
        <v>7.3802899781684125E-4</v>
      </c>
      <c r="P11" s="10">
        <f>SUMPRODUCT(K12:K$54, M12:M$54) / M11</f>
        <v>-2866.1562333433394</v>
      </c>
      <c r="Q11" s="10" cm="1">
        <f t="array" ref="Q11">IF($H11 &gt;= $B$12 - 1, 0, SUMPRODUCT(I12:I$54*L12:L$54, $H12:$H$54 - $H11) / L11 /N11) / (1 + $B$10)</f>
        <v>12.955352654547712</v>
      </c>
      <c r="R11" s="10" cm="1">
        <f t="array" ref="R11">SUMPRODUCT(J12:J$54*L12:L$54, $H12:$H$54 - $H11) / L11 /O11 / (1 + $B$10)</f>
        <v>34.93225079638912</v>
      </c>
      <c r="S11" s="10" cm="1">
        <f t="array" ref="S11">SUMPRODUCT(K12:K$54*M12:M$54, $H12:$H$54 - $H11) / M11 /P11 / (1 + $B$10)</f>
        <v>18.614356138745791</v>
      </c>
      <c r="T11" s="10">
        <f t="shared" si="36"/>
        <v>0</v>
      </c>
      <c r="U11" s="10">
        <f t="shared" si="37"/>
        <v>150</v>
      </c>
      <c r="V11" s="10">
        <f t="shared" si="18"/>
        <v>2454.1625935019038</v>
      </c>
      <c r="W11">
        <f t="shared" si="38"/>
        <v>1333.4907646889499</v>
      </c>
      <c r="X11" s="10">
        <f t="shared" si="19"/>
        <v>3787.6533581908534</v>
      </c>
      <c r="Y11" s="10">
        <f t="shared" si="2"/>
        <v>5320.3180888162451</v>
      </c>
      <c r="Z11">
        <f t="shared" si="3"/>
        <v>0</v>
      </c>
      <c r="AA11" s="10">
        <f t="shared" si="4"/>
        <v>3725.7620040531756</v>
      </c>
      <c r="AB11" s="10">
        <f t="shared" si="5"/>
        <v>1594.5560847630695</v>
      </c>
      <c r="AC11" s="10">
        <f t="shared" si="6"/>
        <v>1.3935683268511145E-3</v>
      </c>
      <c r="AD11" s="10">
        <f t="shared" si="7"/>
        <v>-6.5553932903427326E-4</v>
      </c>
      <c r="AE11">
        <f t="shared" si="20"/>
        <v>-2883.873128472384</v>
      </c>
      <c r="AF11" s="10">
        <f t="shared" si="8"/>
        <v>17.716895129044588</v>
      </c>
      <c r="AG11" s="10">
        <f t="shared" si="21"/>
        <v>841.89026914911847</v>
      </c>
      <c r="AH11" s="10">
        <f t="shared" si="22"/>
        <v>1612.2723243527851</v>
      </c>
      <c r="AI11">
        <f t="shared" si="9"/>
        <v>2338.0576285128727</v>
      </c>
      <c r="AJ11">
        <f t="shared" si="10"/>
        <v>584.51440712821818</v>
      </c>
      <c r="AK11" s="10">
        <f t="shared" si="11"/>
        <v>865.08132254976249</v>
      </c>
      <c r="AL11" s="4">
        <f t="shared" si="23"/>
        <v>0.61728395061728403</v>
      </c>
      <c r="AM11">
        <f t="shared" si="12"/>
        <v>2338.0576285128727</v>
      </c>
      <c r="AN11" s="10">
        <f t="shared" si="24"/>
        <v>-257.37586202090029</v>
      </c>
      <c r="AO11" s="10">
        <f t="shared" si="24"/>
        <v>-747.19100180302257</v>
      </c>
      <c r="AP11" s="10">
        <f t="shared" si="25"/>
        <v>-1004.5668638239229</v>
      </c>
      <c r="AQ11" s="9">
        <f t="shared" si="26"/>
        <v>0.25620580499857326</v>
      </c>
      <c r="AR11" s="9">
        <f t="shared" si="27"/>
        <v>0.74379419500142674</v>
      </c>
      <c r="AS11">
        <f t="shared" si="28"/>
        <v>1333.4907646889499</v>
      </c>
      <c r="AT11">
        <f t="shared" si="29"/>
        <v>0</v>
      </c>
      <c r="AU11">
        <f t="shared" si="30"/>
        <v>0</v>
      </c>
      <c r="AV11">
        <f t="shared" si="31"/>
        <v>1</v>
      </c>
      <c r="AW11">
        <f t="shared" si="32"/>
        <v>0</v>
      </c>
      <c r="AX11">
        <f t="shared" si="33"/>
        <v>0</v>
      </c>
      <c r="AY11" s="3">
        <f t="shared" si="13"/>
        <v>0.06</v>
      </c>
      <c r="AZ11">
        <f t="shared" si="14"/>
        <v>3.2399999999999998E-2</v>
      </c>
      <c r="BA11" s="11">
        <f t="shared" si="34"/>
        <v>4.3799999999999999E-2</v>
      </c>
    </row>
    <row r="12" spans="1:53" x14ac:dyDescent="0.2">
      <c r="A12" t="s">
        <v>21</v>
      </c>
      <c r="B12" s="8">
        <v>36</v>
      </c>
      <c r="H12" s="10">
        <f t="shared" si="35"/>
        <v>8</v>
      </c>
      <c r="I12">
        <f t="shared" si="15"/>
        <v>250</v>
      </c>
      <c r="J12">
        <f t="shared" si="16"/>
        <v>0</v>
      </c>
      <c r="K12">
        <f t="shared" si="17"/>
        <v>-100</v>
      </c>
      <c r="L12" s="9">
        <f t="shared" si="0"/>
        <v>0.85349037119011162</v>
      </c>
      <c r="M12" s="11">
        <f t="shared" si="1"/>
        <v>0.85349037119011162</v>
      </c>
      <c r="N12" s="10">
        <f>SUMPRODUCT(I13:I$54, L13:L$54) / L12</f>
        <v>5176.7244505925692</v>
      </c>
      <c r="O12" s="10">
        <f>SUMPRODUCT(J13:J$54, M13:M$54) / M12</f>
        <v>7.5278957777317817E-4</v>
      </c>
      <c r="P12" s="10">
        <f>SUMPRODUCT(K13:K$54, M13:M$54) / M12</f>
        <v>-2823.4793580102055</v>
      </c>
      <c r="Q12" s="10" cm="1">
        <f t="array" ref="Q12">IF($H12 &gt;= $B$12 - 1, 0, SUMPRODUCT(I13:I$54*L13:L$54, $H13:$H$54 - $H12) / L12 /N12) / (1 + $B$10)</f>
        <v>12.553268296949527</v>
      </c>
      <c r="R12" s="10" cm="1">
        <f t="array" ref="R12">SUMPRODUCT(J13:J$54*L13:L$54, $H13:$H$54 - $H12) / L12 /O12 / (1 + $B$10)</f>
        <v>33.951858639526378</v>
      </c>
      <c r="S12" s="10" cm="1">
        <f t="array" ref="S12">SUMPRODUCT(K13:K$54*M13:M$54, $H13:$H$54 - $H12) / M12 /P12 / (1 + $B$10)</f>
        <v>18.258511277823274</v>
      </c>
      <c r="T12" s="10">
        <f t="shared" si="36"/>
        <v>0</v>
      </c>
      <c r="U12" s="10">
        <f t="shared" si="37"/>
        <v>150</v>
      </c>
      <c r="V12" s="10">
        <f t="shared" si="18"/>
        <v>2353.2458453719414</v>
      </c>
      <c r="W12">
        <f t="shared" si="38"/>
        <v>1541.897660182326</v>
      </c>
      <c r="X12" s="10">
        <f t="shared" si="19"/>
        <v>3895.1435055542674</v>
      </c>
      <c r="Y12" s="10">
        <f t="shared" si="2"/>
        <v>5176.7244505925692</v>
      </c>
      <c r="Z12">
        <f t="shared" si="3"/>
        <v>0</v>
      </c>
      <c r="AA12" s="10">
        <f t="shared" si="4"/>
        <v>3512.6924825766027</v>
      </c>
      <c r="AB12" s="10">
        <f t="shared" si="5"/>
        <v>1664.0319680159664</v>
      </c>
      <c r="AC12" s="10">
        <f t="shared" si="6"/>
        <v>1.3815462340466861E-3</v>
      </c>
      <c r="AD12" s="10">
        <f t="shared" si="7"/>
        <v>-6.2875665627350793E-4</v>
      </c>
      <c r="AE12">
        <f t="shared" si="20"/>
        <v>-2786.6232270773271</v>
      </c>
      <c r="AF12" s="10">
        <f t="shared" si="8"/>
        <v>-36.856130932878386</v>
      </c>
      <c r="AG12" s="10">
        <f t="shared" si="21"/>
        <v>726.07063704550956</v>
      </c>
      <c r="AH12" s="10">
        <f t="shared" si="22"/>
        <v>1627.1752083264319</v>
      </c>
      <c r="AI12">
        <f t="shared" si="9"/>
        <v>2404.4095713297952</v>
      </c>
      <c r="AJ12">
        <f t="shared" si="10"/>
        <v>601.1023928324488</v>
      </c>
      <c r="AK12" s="10">
        <f t="shared" si="11"/>
        <v>889.63154139202345</v>
      </c>
      <c r="AL12" s="4">
        <f t="shared" si="23"/>
        <v>0.61728395061728403</v>
      </c>
      <c r="AM12">
        <f t="shared" si="12"/>
        <v>2404.4095713297952</v>
      </c>
      <c r="AN12" s="10">
        <f t="shared" si="24"/>
        <v>-124.96824421306076</v>
      </c>
      <c r="AO12" s="10">
        <f t="shared" si="24"/>
        <v>-737.54366693440841</v>
      </c>
      <c r="AP12" s="10">
        <f t="shared" si="25"/>
        <v>-862.51191114746916</v>
      </c>
      <c r="AQ12" s="9">
        <f t="shared" si="26"/>
        <v>0.14488871701122993</v>
      </c>
      <c r="AR12" s="9">
        <f t="shared" si="27"/>
        <v>0.85511128298877004</v>
      </c>
      <c r="AS12">
        <f t="shared" si="28"/>
        <v>1541.897660182326</v>
      </c>
      <c r="AT12">
        <f t="shared" si="29"/>
        <v>0</v>
      </c>
      <c r="AU12">
        <f t="shared" si="30"/>
        <v>0</v>
      </c>
      <c r="AV12">
        <f t="shared" si="31"/>
        <v>1</v>
      </c>
      <c r="AW12">
        <f t="shared" si="32"/>
        <v>0</v>
      </c>
      <c r="AX12">
        <f t="shared" si="33"/>
        <v>0</v>
      </c>
      <c r="AY12" s="3">
        <f t="shared" si="13"/>
        <v>0.06</v>
      </c>
      <c r="AZ12">
        <f t="shared" si="14"/>
        <v>3.2399999999999998E-2</v>
      </c>
      <c r="BA12" s="11">
        <f t="shared" si="34"/>
        <v>4.3799999999999999E-2</v>
      </c>
    </row>
    <row r="13" spans="1:53" x14ac:dyDescent="0.2">
      <c r="H13" s="10">
        <f t="shared" si="35"/>
        <v>9</v>
      </c>
      <c r="I13">
        <f t="shared" si="15"/>
        <v>250</v>
      </c>
      <c r="J13">
        <f t="shared" si="16"/>
        <v>0</v>
      </c>
      <c r="K13">
        <f t="shared" si="17"/>
        <v>-100</v>
      </c>
      <c r="L13" s="9">
        <f t="shared" si="0"/>
        <v>0.83675526587265847</v>
      </c>
      <c r="M13" s="11">
        <f t="shared" si="1"/>
        <v>0.83675526587265847</v>
      </c>
      <c r="N13" s="10">
        <f>SUMPRODUCT(I14:I$54, L14:L$54) / L13</f>
        <v>5030.2589396044223</v>
      </c>
      <c r="O13" s="10">
        <f>SUMPRODUCT(J14:J$54, M14:M$54) / M13</f>
        <v>7.6784536932864164E-4</v>
      </c>
      <c r="P13" s="10">
        <f>SUMPRODUCT(K14:K$54, M14:M$54) / M13</f>
        <v>-2779.9489451704103</v>
      </c>
      <c r="Q13" s="10" cm="1">
        <f t="array" ref="Q13">IF($H13 &gt;= $B$12 - 1, 0, SUMPRODUCT(I14:I$54*L14:L$54, $H14:$H$54 - $H13) / L13 /N13) / (1 + $B$10)</f>
        <v>12.14803918233947</v>
      </c>
      <c r="R13" s="10" cm="1">
        <f t="array" ref="R13">SUMPRODUCT(J14:J$54*L14:L$54, $H14:$H$54 - $H13) / L13 /O13 / (1 + $B$10)</f>
        <v>32.971466482663637</v>
      </c>
      <c r="S13" s="10" cm="1">
        <f t="array" ref="S13">SUMPRODUCT(K14:K$54*M14:M$54, $H14:$H$54 - $H13) / M13 /P13 / (1 + $B$10)</f>
        <v>17.899645611617039</v>
      </c>
      <c r="T13" s="10">
        <f t="shared" si="36"/>
        <v>0</v>
      </c>
      <c r="U13" s="10">
        <f t="shared" si="37"/>
        <v>150</v>
      </c>
      <c r="V13" s="10">
        <f t="shared" si="18"/>
        <v>2250.3107622793814</v>
      </c>
      <c r="W13">
        <f t="shared" si="38"/>
        <v>1759.4327776983121</v>
      </c>
      <c r="X13" s="10">
        <f t="shared" si="19"/>
        <v>4009.7435399776932</v>
      </c>
      <c r="Y13" s="10">
        <f t="shared" si="2"/>
        <v>5030.2589396044223</v>
      </c>
      <c r="Z13">
        <f t="shared" si="3"/>
        <v>0</v>
      </c>
      <c r="AA13" s="10">
        <f t="shared" si="4"/>
        <v>3303.1233889528603</v>
      </c>
      <c r="AB13" s="10">
        <f t="shared" si="5"/>
        <v>1727.135550651562</v>
      </c>
      <c r="AC13" s="10">
        <f t="shared" si="6"/>
        <v>1.3684858301993398E-3</v>
      </c>
      <c r="AD13" s="10">
        <f t="shared" si="7"/>
        <v>-6.0064046087069821E-4</v>
      </c>
      <c r="AE13">
        <f t="shared" si="20"/>
        <v>-2689.7351857804838</v>
      </c>
      <c r="AF13" s="10">
        <f t="shared" si="8"/>
        <v>-90.213759389926508</v>
      </c>
      <c r="AG13" s="10">
        <f t="shared" si="21"/>
        <v>613.38957165820693</v>
      </c>
      <c r="AH13" s="10">
        <f t="shared" si="22"/>
        <v>1636.9211906211747</v>
      </c>
      <c r="AI13">
        <f t="shared" si="9"/>
        <v>2475.1503333195642</v>
      </c>
      <c r="AJ13">
        <f t="shared" si="10"/>
        <v>618.78758332989105</v>
      </c>
      <c r="AK13" s="10">
        <f t="shared" si="11"/>
        <v>915.80562332823797</v>
      </c>
      <c r="AL13" s="4">
        <f t="shared" si="23"/>
        <v>0.61728395061728403</v>
      </c>
      <c r="AM13">
        <f t="shared" si="12"/>
        <v>2475.1503333195642</v>
      </c>
      <c r="AN13" s="10">
        <f t="shared" si="24"/>
        <v>5.3980116716841167</v>
      </c>
      <c r="AO13" s="10">
        <f t="shared" si="24"/>
        <v>-721.1155672929367</v>
      </c>
      <c r="AP13" s="10">
        <f t="shared" si="25"/>
        <v>-715.71755562125259</v>
      </c>
      <c r="AQ13" s="9">
        <f t="shared" si="26"/>
        <v>0</v>
      </c>
      <c r="AR13" s="9">
        <f t="shared" si="27"/>
        <v>1</v>
      </c>
      <c r="AS13">
        <f t="shared" si="28"/>
        <v>1759.4327776983121</v>
      </c>
      <c r="AT13">
        <f t="shared" si="29"/>
        <v>0</v>
      </c>
      <c r="AU13">
        <f t="shared" si="30"/>
        <v>0</v>
      </c>
      <c r="AV13">
        <f t="shared" si="31"/>
        <v>1</v>
      </c>
      <c r="AW13">
        <f t="shared" si="32"/>
        <v>0</v>
      </c>
      <c r="AX13">
        <f t="shared" si="33"/>
        <v>0</v>
      </c>
      <c r="AY13" s="3">
        <f t="shared" si="13"/>
        <v>0.06</v>
      </c>
      <c r="AZ13">
        <f t="shared" si="14"/>
        <v>3.2399999999999998E-2</v>
      </c>
      <c r="BA13" s="11">
        <f t="shared" si="34"/>
        <v>4.3799999999999999E-2</v>
      </c>
    </row>
    <row r="14" spans="1:53" x14ac:dyDescent="0.2">
      <c r="A14" s="1" t="s">
        <v>5</v>
      </c>
      <c r="B14" t="s">
        <v>8</v>
      </c>
      <c r="C14" t="s">
        <v>9</v>
      </c>
      <c r="D14" t="s">
        <v>10</v>
      </c>
      <c r="H14" s="10">
        <f t="shared" si="35"/>
        <v>10</v>
      </c>
      <c r="I14">
        <f t="shared" si="15"/>
        <v>250</v>
      </c>
      <c r="J14">
        <f t="shared" si="16"/>
        <v>0</v>
      </c>
      <c r="K14">
        <f t="shared" si="17"/>
        <v>-100</v>
      </c>
      <c r="L14" s="9">
        <f t="shared" si="0"/>
        <v>0.82034829987515534</v>
      </c>
      <c r="M14" s="11">
        <f t="shared" si="1"/>
        <v>0.82034829987515534</v>
      </c>
      <c r="N14" s="10">
        <f>SUMPRODUCT(I15:I$54, L15:L$54) / L14</f>
        <v>4880.864118396511</v>
      </c>
      <c r="O14" s="10">
        <f>SUMPRODUCT(J15:J$54, M15:M$54) / M14</f>
        <v>7.8320227671521453E-4</v>
      </c>
      <c r="P14" s="10">
        <f>SUMPRODUCT(K15:K$54, M15:M$54) / M14</f>
        <v>-2735.5479240738182</v>
      </c>
      <c r="Q14" s="10" cm="1">
        <f t="array" ref="Q14">IF($H14 &gt;= $B$12 - 1, 0, SUMPRODUCT(I15:I$54*L15:L$54, $H15:$H$54 - $H14) / L14 /N14) / (1 + $B$10)</f>
        <v>11.739658802212357</v>
      </c>
      <c r="R14" s="10" cm="1">
        <f t="array" ref="R14">SUMPRODUCT(J15:J$54*L15:L$54, $H15:$H$54 - $H14) / L14 /O14 / (1 + $B$10)</f>
        <v>31.991074325800888</v>
      </c>
      <c r="S14" s="10" cm="1">
        <f t="array" ref="S14">SUMPRODUCT(K15:K$54*M15:M$54, $H15:$H$54 - $H14) / M14 /P14 / (1 + $B$10)</f>
        <v>17.537749416965696</v>
      </c>
      <c r="T14" s="10">
        <f t="shared" si="36"/>
        <v>0</v>
      </c>
      <c r="U14" s="10">
        <f t="shared" si="37"/>
        <v>150</v>
      </c>
      <c r="V14" s="10">
        <f t="shared" si="18"/>
        <v>2145.3169775249694</v>
      </c>
      <c r="W14">
        <f t="shared" si="38"/>
        <v>1986.4959333614981</v>
      </c>
      <c r="X14" s="10">
        <f t="shared" si="19"/>
        <v>4131.8129108864678</v>
      </c>
      <c r="Y14" s="10">
        <f t="shared" si="2"/>
        <v>4880.864118396511</v>
      </c>
      <c r="Z14">
        <f t="shared" si="3"/>
        <v>0</v>
      </c>
      <c r="AA14" s="10">
        <f t="shared" si="4"/>
        <v>3097.2799681046517</v>
      </c>
      <c r="AB14" s="10">
        <f t="shared" si="5"/>
        <v>1783.5841502918593</v>
      </c>
      <c r="AC14" s="10">
        <f t="shared" si="6"/>
        <v>1.3543503917044812E-3</v>
      </c>
      <c r="AD14" s="10">
        <f t="shared" si="7"/>
        <v>-5.7114811498926664E-4</v>
      </c>
      <c r="AE14">
        <f t="shared" si="20"/>
        <v>-2593.2623789463419</v>
      </c>
      <c r="AF14" s="10">
        <f t="shared" si="8"/>
        <v>-142.28554512747633</v>
      </c>
      <c r="AG14" s="10">
        <f t="shared" si="21"/>
        <v>504.0189435087018</v>
      </c>
      <c r="AH14" s="10">
        <f t="shared" si="22"/>
        <v>1641.298034016268</v>
      </c>
      <c r="AI14">
        <f t="shared" si="9"/>
        <v>2550.5017968434991</v>
      </c>
      <c r="AJ14">
        <f t="shared" si="10"/>
        <v>637.62544921087476</v>
      </c>
      <c r="AK14" s="10">
        <f t="shared" si="11"/>
        <v>943.68566483209395</v>
      </c>
      <c r="AL14" s="4">
        <f t="shared" si="23"/>
        <v>0.61728395061728403</v>
      </c>
      <c r="AM14">
        <f t="shared" si="12"/>
        <v>2550.5017968434991</v>
      </c>
      <c r="AN14" s="10">
        <f t="shared" si="24"/>
        <v>133.60650570217297</v>
      </c>
      <c r="AO14" s="10">
        <f t="shared" si="24"/>
        <v>-697.6123691841741</v>
      </c>
      <c r="AP14" s="10">
        <f t="shared" si="25"/>
        <v>-564.00586348200113</v>
      </c>
      <c r="AQ14" s="9">
        <f t="shared" si="26"/>
        <v>0</v>
      </c>
      <c r="AR14" s="9">
        <f t="shared" si="27"/>
        <v>1</v>
      </c>
      <c r="AS14">
        <f t="shared" si="28"/>
        <v>1986.4959333614981</v>
      </c>
      <c r="AT14">
        <f t="shared" si="29"/>
        <v>0</v>
      </c>
      <c r="AU14">
        <f t="shared" si="30"/>
        <v>0</v>
      </c>
      <c r="AV14">
        <f t="shared" si="31"/>
        <v>1</v>
      </c>
      <c r="AW14">
        <f t="shared" si="32"/>
        <v>0</v>
      </c>
      <c r="AX14">
        <f t="shared" si="33"/>
        <v>0</v>
      </c>
      <c r="AY14" s="3">
        <f t="shared" si="13"/>
        <v>0.06</v>
      </c>
      <c r="AZ14">
        <f t="shared" si="14"/>
        <v>3.2399999999999998E-2</v>
      </c>
      <c r="BA14" s="11">
        <f t="shared" si="34"/>
        <v>4.3799999999999999E-2</v>
      </c>
    </row>
    <row r="15" spans="1:53" x14ac:dyDescent="0.2">
      <c r="A15" t="s">
        <v>6</v>
      </c>
      <c r="B15" s="15">
        <v>0.04</v>
      </c>
      <c r="C15" s="6">
        <v>0.18</v>
      </c>
      <c r="D15" s="7">
        <v>0</v>
      </c>
      <c r="H15" s="10">
        <f t="shared" si="35"/>
        <v>11</v>
      </c>
      <c r="I15">
        <f t="shared" si="15"/>
        <v>250</v>
      </c>
      <c r="J15">
        <f t="shared" si="16"/>
        <v>0</v>
      </c>
      <c r="K15">
        <f t="shared" si="17"/>
        <v>-100</v>
      </c>
      <c r="L15" s="9">
        <f t="shared" si="0"/>
        <v>0.80426303909328967</v>
      </c>
      <c r="M15" s="11">
        <f t="shared" si="1"/>
        <v>0.80426303909328967</v>
      </c>
      <c r="N15" s="10">
        <f>SUMPRODUCT(I16:I$54, L16:L$54) / L15</f>
        <v>4728.4814007644409</v>
      </c>
      <c r="O15" s="10">
        <f>SUMPRODUCT(J16:J$54, M16:M$54) / M15</f>
        <v>7.988663222495187E-4</v>
      </c>
      <c r="P15" s="10">
        <f>SUMPRODUCT(K16:K$54, M16:M$54) / M15</f>
        <v>-2690.2588825552948</v>
      </c>
      <c r="Q15" s="10" cm="1">
        <f t="array" ref="Q15">IF($H15 &gt;= $B$12 - 1, 0, SUMPRODUCT(I16:I$54*L16:L$54, $H16:$H$54 - $H15) / L15 /N15) / (1 + $B$10)</f>
        <v>11.328120878529539</v>
      </c>
      <c r="R15" s="10" cm="1">
        <f t="array" ref="R15">SUMPRODUCT(J16:J$54*L16:L$54, $H16:$H$54 - $H15) / L15 /O15 / (1 + $B$10)</f>
        <v>31.010682168938143</v>
      </c>
      <c r="S15" s="10" cm="1">
        <f t="array" ref="S15">SUMPRODUCT(K16:K$54*M16:M$54, $H16:$H$54 - $H15) / M15 /P15 / (1 + $B$10)</f>
        <v>17.172813169103652</v>
      </c>
      <c r="T15" s="10">
        <f t="shared" si="36"/>
        <v>0</v>
      </c>
      <c r="U15" s="10">
        <f t="shared" si="37"/>
        <v>150</v>
      </c>
      <c r="V15" s="10">
        <f t="shared" si="18"/>
        <v>2038.223317075468</v>
      </c>
      <c r="W15">
        <f t="shared" si="38"/>
        <v>2223.5044552427321</v>
      </c>
      <c r="X15" s="10">
        <f t="shared" si="19"/>
        <v>4261.7277723181996</v>
      </c>
      <c r="Y15" s="10">
        <f t="shared" si="2"/>
        <v>4728.4814007644409</v>
      </c>
      <c r="Z15">
        <f t="shared" si="3"/>
        <v>0</v>
      </c>
      <c r="AA15" s="10">
        <f t="shared" si="4"/>
        <v>2895.3950745804468</v>
      </c>
      <c r="AB15" s="10">
        <f t="shared" si="5"/>
        <v>1833.0863261839941</v>
      </c>
      <c r="AC15" s="10">
        <f t="shared" si="6"/>
        <v>1.3391021413377481E-3</v>
      </c>
      <c r="AD15" s="10">
        <f t="shared" si="7"/>
        <v>-5.4023581908822945E-4</v>
      </c>
      <c r="AE15">
        <f t="shared" si="20"/>
        <v>-2497.2601711699263</v>
      </c>
      <c r="AF15" s="10">
        <f t="shared" si="8"/>
        <v>-192.99871138536855</v>
      </c>
      <c r="AG15" s="10">
        <f t="shared" si="21"/>
        <v>398.13624251266174</v>
      </c>
      <c r="AH15" s="10">
        <f t="shared" si="22"/>
        <v>1640.0870745628065</v>
      </c>
      <c r="AI15">
        <f t="shared" si="9"/>
        <v>2630.6961557519753</v>
      </c>
      <c r="AJ15">
        <f t="shared" si="10"/>
        <v>657.67403893799383</v>
      </c>
      <c r="AK15" s="10">
        <f t="shared" si="11"/>
        <v>973.3575776282305</v>
      </c>
      <c r="AL15" s="4">
        <f t="shared" si="23"/>
        <v>0.61728395061728403</v>
      </c>
      <c r="AM15">
        <f t="shared" si="12"/>
        <v>2630.6961557519753</v>
      </c>
      <c r="AN15" s="10">
        <f t="shared" si="24"/>
        <v>259.53779642533209</v>
      </c>
      <c r="AO15" s="10">
        <f t="shared" si="24"/>
        <v>-666.72949693457599</v>
      </c>
      <c r="AP15" s="10">
        <f t="shared" si="25"/>
        <v>-407.1917005092439</v>
      </c>
      <c r="AQ15" s="9">
        <f t="shared" si="26"/>
        <v>0</v>
      </c>
      <c r="AR15" s="9">
        <f t="shared" si="27"/>
        <v>1</v>
      </c>
      <c r="AS15">
        <f t="shared" si="28"/>
        <v>2223.5044552427321</v>
      </c>
      <c r="AT15">
        <f t="shared" si="29"/>
        <v>0</v>
      </c>
      <c r="AU15">
        <f t="shared" si="30"/>
        <v>0</v>
      </c>
      <c r="AV15">
        <f t="shared" si="31"/>
        <v>1</v>
      </c>
      <c r="AW15">
        <f t="shared" si="32"/>
        <v>0</v>
      </c>
      <c r="AX15">
        <f t="shared" si="33"/>
        <v>0</v>
      </c>
      <c r="AY15" s="3">
        <f t="shared" si="13"/>
        <v>0.06</v>
      </c>
      <c r="AZ15">
        <f t="shared" si="14"/>
        <v>3.2399999999999998E-2</v>
      </c>
      <c r="BA15" s="11">
        <f t="shared" si="34"/>
        <v>4.3799999999999999E-2</v>
      </c>
    </row>
    <row r="16" spans="1:53" x14ac:dyDescent="0.2">
      <c r="A16" t="s">
        <v>7</v>
      </c>
      <c r="B16" s="16">
        <v>0.01</v>
      </c>
      <c r="C16" s="6">
        <v>0.18</v>
      </c>
      <c r="H16" s="10">
        <f t="shared" si="35"/>
        <v>12</v>
      </c>
      <c r="I16">
        <f t="shared" si="15"/>
        <v>250</v>
      </c>
      <c r="J16">
        <f t="shared" si="16"/>
        <v>0</v>
      </c>
      <c r="K16">
        <f t="shared" si="17"/>
        <v>-100</v>
      </c>
      <c r="L16" s="9">
        <f t="shared" si="0"/>
        <v>0.78849317558165644</v>
      </c>
      <c r="M16" s="11">
        <f t="shared" si="1"/>
        <v>0.78849317558165644</v>
      </c>
      <c r="N16" s="10">
        <f>SUMPRODUCT(I17:I$54, L17:L$54) / L16</f>
        <v>4573.0510287797297</v>
      </c>
      <c r="O16" s="10">
        <f>SUMPRODUCT(J17:J$54, M17:M$54) / M16</f>
        <v>8.1484364869450923E-4</v>
      </c>
      <c r="P16" s="10">
        <f>SUMPRODUCT(K17:K$54, M17:M$54) / M16</f>
        <v>-2644.0640602064009</v>
      </c>
      <c r="Q16" s="10" cm="1">
        <f t="array" ref="Q16">IF($H16 &gt;= $B$12 - 1, 0, SUMPRODUCT(I17:I$54*L17:L$54, $H17:$H$54 - $H16) / L16 /N16) / (1 + $B$10)</f>
        <v>10.913419365426568</v>
      </c>
      <c r="R16" s="10" cm="1">
        <f t="array" ref="R16">SUMPRODUCT(J17:J$54*L17:L$54, $H17:$H$54 - $H16) / L16 /O16 / (1 + $B$10)</f>
        <v>30.030290012075394</v>
      </c>
      <c r="S16" s="10" cm="1">
        <f t="array" ref="S16">SUMPRODUCT(K17:K$54*M17:M$54, $H17:$H$54 - $H16) / M16 /P16 / (1 + $B$10)</f>
        <v>16.804827544137755</v>
      </c>
      <c r="T16" s="10">
        <f t="shared" si="36"/>
        <v>0</v>
      </c>
      <c r="U16" s="10">
        <f t="shared" si="37"/>
        <v>150</v>
      </c>
      <c r="V16" s="10">
        <f t="shared" si="18"/>
        <v>1928.9877834169779</v>
      </c>
      <c r="W16">
        <f t="shared" si="38"/>
        <v>2470.893950382364</v>
      </c>
      <c r="X16" s="10">
        <f t="shared" si="19"/>
        <v>4399.8817337993423</v>
      </c>
      <c r="Y16" s="10">
        <f t="shared" si="2"/>
        <v>4573.0510287797297</v>
      </c>
      <c r="Z16">
        <f t="shared" si="3"/>
        <v>0</v>
      </c>
      <c r="AA16" s="10">
        <f t="shared" si="4"/>
        <v>2697.7093868415454</v>
      </c>
      <c r="AB16" s="10">
        <f t="shared" si="5"/>
        <v>1875.3416419381842</v>
      </c>
      <c r="AC16" s="10">
        <f t="shared" si="6"/>
        <v>1.3227022207996644E-3</v>
      </c>
      <c r="AD16" s="10">
        <f t="shared" si="7"/>
        <v>-5.0785857210515516E-4</v>
      </c>
      <c r="AE16">
        <f t="shared" si="20"/>
        <v>-2401.7859755362829</v>
      </c>
      <c r="AF16" s="10">
        <f t="shared" si="8"/>
        <v>-242.27808467011801</v>
      </c>
      <c r="AG16" s="10">
        <f t="shared" si="21"/>
        <v>295.92473400748349</v>
      </c>
      <c r="AH16" s="10">
        <f t="shared" si="22"/>
        <v>1633.0630494094942</v>
      </c>
      <c r="AI16">
        <f t="shared" si="9"/>
        <v>2715.9763788884834</v>
      </c>
      <c r="AJ16">
        <f t="shared" si="10"/>
        <v>678.99409472212085</v>
      </c>
      <c r="AK16" s="10">
        <f t="shared" si="11"/>
        <v>1004.9112601887381</v>
      </c>
      <c r="AL16" s="4">
        <f t="shared" si="23"/>
        <v>0.61728395061728403</v>
      </c>
      <c r="AM16">
        <f t="shared" si="12"/>
        <v>2715.9763788884834</v>
      </c>
      <c r="AN16" s="10">
        <f t="shared" si="24"/>
        <v>383.06936071463736</v>
      </c>
      <c r="AO16" s="10">
        <f t="shared" si="24"/>
        <v>-628.15178922075609</v>
      </c>
      <c r="AP16" s="10">
        <f t="shared" si="25"/>
        <v>-245.08242850611873</v>
      </c>
      <c r="AQ16" s="9">
        <f t="shared" si="26"/>
        <v>0</v>
      </c>
      <c r="AR16" s="9">
        <f t="shared" si="27"/>
        <v>1</v>
      </c>
      <c r="AS16">
        <f t="shared" si="28"/>
        <v>2470.893950382364</v>
      </c>
      <c r="AT16">
        <f t="shared" si="29"/>
        <v>0</v>
      </c>
      <c r="AU16">
        <f t="shared" si="30"/>
        <v>0</v>
      </c>
      <c r="AV16">
        <f t="shared" si="31"/>
        <v>1</v>
      </c>
      <c r="AW16">
        <f t="shared" si="32"/>
        <v>0</v>
      </c>
      <c r="AX16">
        <f t="shared" si="33"/>
        <v>0</v>
      </c>
      <c r="AY16" s="3">
        <f t="shared" si="13"/>
        <v>0.06</v>
      </c>
      <c r="AZ16">
        <f t="shared" si="14"/>
        <v>3.2399999999999998E-2</v>
      </c>
      <c r="BA16" s="11">
        <f t="shared" si="34"/>
        <v>4.3799999999999999E-2</v>
      </c>
    </row>
    <row r="17" spans="1:53" x14ac:dyDescent="0.2">
      <c r="A17" t="s">
        <v>40</v>
      </c>
      <c r="B17" s="7">
        <v>18.5</v>
      </c>
      <c r="H17" s="10">
        <f t="shared" si="35"/>
        <v>13</v>
      </c>
      <c r="I17">
        <f t="shared" si="15"/>
        <v>250</v>
      </c>
      <c r="J17">
        <f t="shared" si="16"/>
        <v>0</v>
      </c>
      <c r="K17">
        <f t="shared" si="17"/>
        <v>-100</v>
      </c>
      <c r="L17" s="9">
        <f t="shared" si="0"/>
        <v>0.77303252508005538</v>
      </c>
      <c r="M17" s="11">
        <f t="shared" si="1"/>
        <v>0.77303252508005538</v>
      </c>
      <c r="N17" s="10">
        <f>SUMPRODUCT(I18:I$54, L18:L$54) / L17</f>
        <v>4414.512049355325</v>
      </c>
      <c r="O17" s="10">
        <f>SUMPRODUCT(J18:J$54, M18:M$54) / M17</f>
        <v>8.311405216683993E-4</v>
      </c>
      <c r="P17" s="10">
        <f>SUMPRODUCT(K18:K$54, M18:M$54) / M17</f>
        <v>-2596.9453414105287</v>
      </c>
      <c r="Q17" s="10" cm="1">
        <f t="array" ref="Q17">IF($H17 &gt;= $B$12 - 1, 0, SUMPRODUCT(I18:I$54*L18:L$54, $H18:$H$54 - $H17) / L17 /N17) / (1 + $B$10)</f>
        <v>10.49554845086139</v>
      </c>
      <c r="R17" s="10" cm="1">
        <f t="array" ref="R17">SUMPRODUCT(J18:J$54*L18:L$54, $H18:$H$54 - $H17) / L17 /O17 / (1 + $B$10)</f>
        <v>29.049897855212652</v>
      </c>
      <c r="S17" s="10" cm="1">
        <f t="array" ref="S17">SUMPRODUCT(K18:K$54*M18:M$54, $H18:$H$54 - $H17) / M17 /P17 / (1 + $B$10)</f>
        <v>16.433783421480456</v>
      </c>
      <c r="T17" s="10">
        <f t="shared" si="36"/>
        <v>0</v>
      </c>
      <c r="U17" s="10">
        <f t="shared" si="37"/>
        <v>150</v>
      </c>
      <c r="V17" s="10">
        <f t="shared" si="18"/>
        <v>1817.567539085318</v>
      </c>
      <c r="W17">
        <f t="shared" si="38"/>
        <v>2729.1191054091119</v>
      </c>
      <c r="X17" s="10">
        <f t="shared" si="19"/>
        <v>4546.6866444944299</v>
      </c>
      <c r="Y17" s="10">
        <f t="shared" si="2"/>
        <v>4414.512049355325</v>
      </c>
      <c r="Z17">
        <f t="shared" si="3"/>
        <v>0</v>
      </c>
      <c r="AA17" s="10">
        <f t="shared" si="4"/>
        <v>2504.471627076769</v>
      </c>
      <c r="AB17" s="10">
        <f t="shared" si="5"/>
        <v>1910.040422278556</v>
      </c>
      <c r="AC17" s="10">
        <f t="shared" si="6"/>
        <v>1.3051106625835221E-3</v>
      </c>
      <c r="AD17" s="10">
        <f t="shared" si="7"/>
        <v>-4.7397014091512277E-4</v>
      </c>
      <c r="AE17">
        <f t="shared" si="20"/>
        <v>-2306.8993134142297</v>
      </c>
      <c r="AF17" s="10">
        <f t="shared" si="8"/>
        <v>-290.04602799629902</v>
      </c>
      <c r="AG17" s="10">
        <f t="shared" si="21"/>
        <v>197.57361877320182</v>
      </c>
      <c r="AH17" s="10">
        <f t="shared" si="22"/>
        <v>1619.9939203121162</v>
      </c>
      <c r="AI17">
        <f t="shared" si="9"/>
        <v>2806.5966941323645</v>
      </c>
      <c r="AJ17">
        <f t="shared" si="10"/>
        <v>701.64917353309113</v>
      </c>
      <c r="AK17" s="10">
        <f t="shared" si="11"/>
        <v>1038.4407768289743</v>
      </c>
      <c r="AL17" s="4">
        <f t="shared" si="23"/>
        <v>0.61728395061728403</v>
      </c>
      <c r="AM17">
        <f t="shared" si="12"/>
        <v>2806.5966941323645</v>
      </c>
      <c r="AN17" s="10">
        <f t="shared" si="24"/>
        <v>504.07555475988931</v>
      </c>
      <c r="AO17" s="10">
        <f t="shared" si="24"/>
        <v>-581.55314348314187</v>
      </c>
      <c r="AP17" s="10">
        <f t="shared" si="25"/>
        <v>-77.477588723252552</v>
      </c>
      <c r="AQ17" s="9">
        <f t="shared" si="26"/>
        <v>0</v>
      </c>
      <c r="AR17" s="9">
        <f t="shared" si="27"/>
        <v>1</v>
      </c>
      <c r="AS17">
        <f t="shared" si="28"/>
        <v>2729.1191054091119</v>
      </c>
      <c r="AT17">
        <f t="shared" si="29"/>
        <v>0</v>
      </c>
      <c r="AU17">
        <f t="shared" si="30"/>
        <v>0</v>
      </c>
      <c r="AV17">
        <f t="shared" si="31"/>
        <v>1</v>
      </c>
      <c r="AW17">
        <f t="shared" si="32"/>
        <v>0</v>
      </c>
      <c r="AX17">
        <f t="shared" si="33"/>
        <v>0</v>
      </c>
      <c r="AY17" s="3">
        <f t="shared" si="13"/>
        <v>0.06</v>
      </c>
      <c r="AZ17">
        <f t="shared" si="14"/>
        <v>3.2399999999999998E-2</v>
      </c>
      <c r="BA17" s="11">
        <f t="shared" si="34"/>
        <v>4.3799999999999999E-2</v>
      </c>
    </row>
    <row r="18" spans="1:53" x14ac:dyDescent="0.2">
      <c r="H18" s="10">
        <f t="shared" si="35"/>
        <v>14</v>
      </c>
      <c r="I18">
        <f t="shared" si="15"/>
        <v>250</v>
      </c>
      <c r="J18">
        <f t="shared" si="16"/>
        <v>0</v>
      </c>
      <c r="K18">
        <f t="shared" si="17"/>
        <v>-100</v>
      </c>
      <c r="L18" s="9">
        <f t="shared" si="0"/>
        <v>0.75787502458828948</v>
      </c>
      <c r="M18" s="11">
        <f t="shared" si="1"/>
        <v>0.75787502458828948</v>
      </c>
      <c r="N18" s="10">
        <f>SUMPRODUCT(I19:I$54, L19:L$54) / L18</f>
        <v>4252.8022903424317</v>
      </c>
      <c r="O18" s="10">
        <f>SUMPRODUCT(J19:J$54, M19:M$54) / M18</f>
        <v>8.4776333210176739E-4</v>
      </c>
      <c r="P18" s="10">
        <f>SUMPRODUCT(K19:K$54, M19:M$54) / M18</f>
        <v>-2548.884248238739</v>
      </c>
      <c r="Q18" s="10" cm="1">
        <f t="array" ref="Q18">IF($H18 &gt;= $B$12 - 1, 0, SUMPRODUCT(I19:I$54*L19:L$54, $H19:$H$54 - $H18) / L18 /N18) / (1 + $B$10)</f>
        <v>10.074502558202276</v>
      </c>
      <c r="R18" s="10" cm="1">
        <f t="array" ref="R18">SUMPRODUCT(J19:J$54*L19:L$54, $H19:$H$54 - $H18) / L18 /O18 / (1 + $B$10)</f>
        <v>28.069505698349911</v>
      </c>
      <c r="S18" s="10" cm="1">
        <f t="array" ref="S18">SUMPRODUCT(K19:K$54*M19:M$54, $H19:$H$54 - $H18) / M18 /P18 / (1 + $B$10)</f>
        <v>16.059671886238561</v>
      </c>
      <c r="T18" s="10">
        <f t="shared" si="36"/>
        <v>0</v>
      </c>
      <c r="U18" s="10">
        <f t="shared" si="37"/>
        <v>150</v>
      </c>
      <c r="V18" s="10">
        <f t="shared" si="18"/>
        <v>1703.9188898670245</v>
      </c>
      <c r="W18">
        <f t="shared" si="38"/>
        <v>2998.6545222260311</v>
      </c>
      <c r="X18" s="10">
        <f t="shared" si="19"/>
        <v>4702.5734120930556</v>
      </c>
      <c r="Y18" s="10">
        <f t="shared" si="2"/>
        <v>4252.8022903424317</v>
      </c>
      <c r="Z18">
        <f t="shared" si="3"/>
        <v>0</v>
      </c>
      <c r="AA18" s="10">
        <f t="shared" si="4"/>
        <v>2315.9387866801799</v>
      </c>
      <c r="AB18" s="10">
        <f t="shared" si="5"/>
        <v>1936.8635036622518</v>
      </c>
      <c r="AC18" s="10">
        <f t="shared" si="6"/>
        <v>1.2862863611504145E-3</v>
      </c>
      <c r="AD18" s="10">
        <f t="shared" si="7"/>
        <v>-4.3852302904864708E-4</v>
      </c>
      <c r="AE18">
        <f t="shared" si="20"/>
        <v>-2212.6618758224859</v>
      </c>
      <c r="AF18" s="10">
        <f t="shared" si="8"/>
        <v>-336.22237241625317</v>
      </c>
      <c r="AG18" s="10">
        <f t="shared" si="21"/>
        <v>103.27819714405496</v>
      </c>
      <c r="AH18" s="10">
        <f t="shared" si="22"/>
        <v>1600.6406927229696</v>
      </c>
      <c r="AI18">
        <f t="shared" si="9"/>
        <v>2902.8230938846027</v>
      </c>
      <c r="AJ18">
        <f t="shared" si="10"/>
        <v>725.70577347115068</v>
      </c>
      <c r="AK18" s="10">
        <f t="shared" si="11"/>
        <v>1074.0445447373022</v>
      </c>
      <c r="AL18" s="4">
        <f t="shared" si="23"/>
        <v>0.61728395061728403</v>
      </c>
      <c r="AM18">
        <f t="shared" si="12"/>
        <v>2902.8230938846027</v>
      </c>
      <c r="AN18" s="10">
        <f t="shared" si="24"/>
        <v>622.42757632709572</v>
      </c>
      <c r="AO18" s="10">
        <f t="shared" si="24"/>
        <v>-526.59614798566736</v>
      </c>
      <c r="AP18" s="10">
        <f t="shared" si="25"/>
        <v>95.831428341428364</v>
      </c>
      <c r="AQ18" s="9">
        <f t="shared" si="26"/>
        <v>1</v>
      </c>
      <c r="AR18" s="9">
        <f t="shared" si="27"/>
        <v>0</v>
      </c>
      <c r="AS18">
        <f>MAX(MIN($W18,AM18), 0)</f>
        <v>2902.8230938846027</v>
      </c>
      <c r="AT18">
        <f>MIN(IF(AP18 &lt; 0, 0, AQ18 * AP18),W18)</f>
        <v>95.831428341428364</v>
      </c>
      <c r="AU18">
        <f>W18-AS18-AT18</f>
        <v>0</v>
      </c>
      <c r="AV18">
        <f t="shared" si="31"/>
        <v>0.96804185756274164</v>
      </c>
      <c r="AW18">
        <f t="shared" si="32"/>
        <v>3.1958142437258343E-2</v>
      </c>
      <c r="AX18">
        <f t="shared" si="33"/>
        <v>0</v>
      </c>
      <c r="AY18" s="3">
        <f t="shared" si="13"/>
        <v>5.904125572688225E-2</v>
      </c>
      <c r="AZ18">
        <f t="shared" si="14"/>
        <v>3.0395294091914656E-2</v>
      </c>
      <c r="BA18" s="11">
        <f t="shared" si="34"/>
        <v>4.384360868092492E-2</v>
      </c>
    </row>
    <row r="19" spans="1:53" x14ac:dyDescent="0.2">
      <c r="H19" s="10">
        <f t="shared" si="35"/>
        <v>15</v>
      </c>
      <c r="I19">
        <f t="shared" si="15"/>
        <v>250</v>
      </c>
      <c r="J19">
        <f t="shared" si="16"/>
        <v>0</v>
      </c>
      <c r="K19">
        <f t="shared" si="17"/>
        <v>-100</v>
      </c>
      <c r="L19" s="9">
        <f t="shared" si="0"/>
        <v>0.74301472998851925</v>
      </c>
      <c r="M19" s="11">
        <f t="shared" si="1"/>
        <v>0.74301472998851925</v>
      </c>
      <c r="N19" s="10">
        <f>SUMPRODUCT(I20:I$54, L20:L$54) / L19</f>
        <v>4087.8583361492797</v>
      </c>
      <c r="O19" s="10">
        <f>SUMPRODUCT(J20:J$54, M20:M$54) / M19</f>
        <v>8.6471859874380258E-4</v>
      </c>
      <c r="P19" s="10">
        <f>SUMPRODUCT(K20:K$54, M20:M$54) / M19</f>
        <v>-2499.8619332035137</v>
      </c>
      <c r="Q19" s="10" cm="1">
        <f t="array" ref="Q19">IF($H19 &gt;= $B$12 - 1, 0, SUMPRODUCT(I20:I$54*L20:L$54, $H20:$H$54 - $H19) / L19 /N19) / (1 + $B$10)</f>
        <v>9.6502763477545219</v>
      </c>
      <c r="R19" s="10" cm="1">
        <f t="array" ref="R19">SUMPRODUCT(J20:J$54*L20:L$54, $H20:$H$54 - $H19) / L19 /O19 / (1 + $B$10)</f>
        <v>27.089113541487166</v>
      </c>
      <c r="S19" s="10" cm="1">
        <f t="array" ref="S19">SUMPRODUCT(K20:K$54*M20:M$54, $H20:$H$54 - $H19) / M19 /P19 / (1 + $B$10)</f>
        <v>15.682484231556142</v>
      </c>
      <c r="T19" s="10">
        <f t="shared" si="36"/>
        <v>0</v>
      </c>
      <c r="U19" s="10">
        <f t="shared" si="37"/>
        <v>150</v>
      </c>
      <c r="V19" s="10">
        <f t="shared" si="18"/>
        <v>1587.9972676643647</v>
      </c>
      <c r="W19">
        <f t="shared" si="38"/>
        <v>3280.1263576677948</v>
      </c>
      <c r="X19" s="10">
        <f t="shared" si="19"/>
        <v>4868.1236253321595</v>
      </c>
      <c r="Y19" s="10">
        <f t="shared" si="2"/>
        <v>4087.8583361492797</v>
      </c>
      <c r="Z19">
        <f t="shared" si="3"/>
        <v>0</v>
      </c>
      <c r="AA19" s="10">
        <f t="shared" si="4"/>
        <v>2132.3763575304079</v>
      </c>
      <c r="AB19" s="10">
        <f t="shared" si="5"/>
        <v>1955.4819786188718</v>
      </c>
      <c r="AC19" s="10">
        <f t="shared" si="6"/>
        <v>1.2661870433949487E-3</v>
      </c>
      <c r="AD19" s="10">
        <f t="shared" si="7"/>
        <v>-4.0146844465114608E-4</v>
      </c>
      <c r="AE19">
        <f t="shared" si="20"/>
        <v>-2119.137586407111</v>
      </c>
      <c r="AF19" s="10">
        <f t="shared" si="8"/>
        <v>-380.72434679640264</v>
      </c>
      <c r="AG19" s="10">
        <f t="shared" si="21"/>
        <v>13.240037310340085</v>
      </c>
      <c r="AH19" s="10">
        <f t="shared" si="22"/>
        <v>1574.7572303540246</v>
      </c>
      <c r="AI19">
        <f t="shared" si="9"/>
        <v>3005.0145835383705</v>
      </c>
      <c r="AJ19">
        <f t="shared" si="10"/>
        <v>751.25364588459263</v>
      </c>
      <c r="AK19" s="10">
        <f t="shared" si="11"/>
        <v>1111.8553959091964</v>
      </c>
      <c r="AL19" s="4">
        <f t="shared" si="23"/>
        <v>0.61728395061728403</v>
      </c>
      <c r="AM19">
        <f t="shared" si="12"/>
        <v>3005.0145835383705</v>
      </c>
      <c r="AN19" s="10">
        <f t="shared" si="24"/>
        <v>738.01360857425254</v>
      </c>
      <c r="AO19" s="10">
        <f t="shared" si="24"/>
        <v>-462.90183444482818</v>
      </c>
      <c r="AP19" s="10">
        <f t="shared" si="25"/>
        <v>275.11177412942436</v>
      </c>
      <c r="AQ19" s="9">
        <f t="shared" si="26"/>
        <v>1</v>
      </c>
      <c r="AR19" s="9">
        <f t="shared" si="27"/>
        <v>0</v>
      </c>
      <c r="AS19">
        <f t="shared" ref="AS19:AS54" si="39">MAX(MIN($W19,AM19), 0)</f>
        <v>3005.0145835383705</v>
      </c>
      <c r="AT19">
        <f t="shared" ref="AT19:AT54" si="40">MIN(IF(AP19 &lt; 0, 0, AQ19 * AP19),W19)</f>
        <v>275.11177412942436</v>
      </c>
      <c r="AU19">
        <f t="shared" ref="AU19:AU54" si="41">W19-AS19-AT19</f>
        <v>0</v>
      </c>
      <c r="AV19">
        <f t="shared" si="31"/>
        <v>0.9161276901768407</v>
      </c>
      <c r="AW19">
        <f t="shared" si="32"/>
        <v>8.3872309823159311E-2</v>
      </c>
      <c r="AX19">
        <f t="shared" si="33"/>
        <v>0</v>
      </c>
      <c r="AY19" s="3">
        <f t="shared" si="13"/>
        <v>5.7483830705305231E-2</v>
      </c>
      <c r="AZ19">
        <f t="shared" si="14"/>
        <v>2.7420914093667943E-2</v>
      </c>
      <c r="BA19" s="11">
        <f t="shared" si="34"/>
        <v>4.3773373658471261E-2</v>
      </c>
    </row>
    <row r="20" spans="1:53" x14ac:dyDescent="0.2">
      <c r="A20" s="1" t="s">
        <v>11</v>
      </c>
      <c r="H20" s="10">
        <f t="shared" si="35"/>
        <v>16</v>
      </c>
      <c r="I20">
        <f t="shared" si="15"/>
        <v>250</v>
      </c>
      <c r="J20">
        <f t="shared" si="16"/>
        <v>0</v>
      </c>
      <c r="K20">
        <f t="shared" si="17"/>
        <v>-100</v>
      </c>
      <c r="L20" s="9">
        <f t="shared" si="0"/>
        <v>0.72844581371423445</v>
      </c>
      <c r="M20" s="11">
        <f t="shared" si="1"/>
        <v>0.72844581371423445</v>
      </c>
      <c r="N20" s="10">
        <f>SUMPRODUCT(I21:I$54, L21:L$54) / L20</f>
        <v>3919.6155028722656</v>
      </c>
      <c r="O20" s="10">
        <f>SUMPRODUCT(J21:J$54, M21:M$54) / M20</f>
        <v>8.8201297071867878E-4</v>
      </c>
      <c r="P20" s="10">
        <f>SUMPRODUCT(K21:K$54, M21:M$54) / M20</f>
        <v>-2449.8591718675843</v>
      </c>
      <c r="Q20" s="10" cm="1">
        <f t="array" ref="Q20">IF($H20 &gt;= $B$12 - 1, 0, SUMPRODUCT(I21:I$54*L21:L$54, $H21:$H$54 - $H20) / L20 /N20) / (1 + $B$10)</f>
        <v>9.2228647182252992</v>
      </c>
      <c r="R20" s="10" cm="1">
        <f t="array" ref="R20">SUMPRODUCT(J21:J$54*L21:L$54, $H21:$H$54 - $H20) / L20 /O20 / (1 + $B$10)</f>
        <v>26.10872138462442</v>
      </c>
      <c r="S20" s="10" cm="1">
        <f t="array" ref="S20">SUMPRODUCT(K21:K$54*M21:M$54, $H21:$H$54 - $H20) / M20 /P20 / (1 + $B$10)</f>
        <v>15.302211960910601</v>
      </c>
      <c r="T20" s="10">
        <f t="shared" si="36"/>
        <v>0</v>
      </c>
      <c r="U20" s="10">
        <f t="shared" si="37"/>
        <v>150</v>
      </c>
      <c r="V20" s="10">
        <f t="shared" si="18"/>
        <v>1469.7572130176518</v>
      </c>
      <c r="W20">
        <f t="shared" si="38"/>
        <v>3573.7085543689877</v>
      </c>
      <c r="X20" s="10">
        <f t="shared" si="19"/>
        <v>5043.4657673866395</v>
      </c>
      <c r="Y20" s="10">
        <f t="shared" si="2"/>
        <v>3919.6155028722656</v>
      </c>
      <c r="Z20">
        <f t="shared" si="3"/>
        <v>0</v>
      </c>
      <c r="AA20" s="10">
        <f t="shared" si="4"/>
        <v>1954.058569213488</v>
      </c>
      <c r="AB20" s="10">
        <f t="shared" si="5"/>
        <v>1965.5569336587776</v>
      </c>
      <c r="AC20" s="10">
        <f t="shared" si="6"/>
        <v>1.2447692383848045E-3</v>
      </c>
      <c r="AD20" s="10">
        <f t="shared" si="7"/>
        <v>-3.6275626766612569E-4</v>
      </c>
      <c r="AE20">
        <f t="shared" si="20"/>
        <v>-2026.3926660701993</v>
      </c>
      <c r="AF20" s="10">
        <f t="shared" si="8"/>
        <v>-423.46650579738503</v>
      </c>
      <c r="AG20" s="10">
        <f t="shared" si="21"/>
        <v>-72.332852087472929</v>
      </c>
      <c r="AH20" s="10">
        <f t="shared" si="22"/>
        <v>1542.0900651051247</v>
      </c>
      <c r="AI20">
        <f t="shared" si="9"/>
        <v>3113.250473695457</v>
      </c>
      <c r="AJ20">
        <f t="shared" si="10"/>
        <v>778.31261842386425</v>
      </c>
      <c r="AK20" s="10">
        <f t="shared" si="11"/>
        <v>1151.9026752673183</v>
      </c>
      <c r="AL20" s="4">
        <f t="shared" si="23"/>
        <v>0.61728395061728403</v>
      </c>
      <c r="AM20">
        <f t="shared" si="12"/>
        <v>3113.250473695457</v>
      </c>
      <c r="AN20" s="10">
        <f t="shared" si="24"/>
        <v>850.64547051133718</v>
      </c>
      <c r="AO20" s="10">
        <f t="shared" si="24"/>
        <v>-390.18738983780645</v>
      </c>
      <c r="AP20" s="10">
        <f t="shared" si="25"/>
        <v>460.45808067353073</v>
      </c>
      <c r="AQ20" s="9">
        <f t="shared" si="26"/>
        <v>1</v>
      </c>
      <c r="AR20" s="9">
        <f t="shared" si="27"/>
        <v>0</v>
      </c>
      <c r="AS20">
        <f t="shared" si="39"/>
        <v>3113.250473695457</v>
      </c>
      <c r="AT20">
        <f t="shared" si="40"/>
        <v>460.45808067353073</v>
      </c>
      <c r="AU20">
        <f t="shared" si="41"/>
        <v>0</v>
      </c>
      <c r="AV20">
        <f t="shared" si="31"/>
        <v>0.87115399208740618</v>
      </c>
      <c r="AW20">
        <f t="shared" si="32"/>
        <v>0.12884600791259379</v>
      </c>
      <c r="AX20">
        <f t="shared" si="33"/>
        <v>0</v>
      </c>
      <c r="AY20" s="3">
        <f t="shared" si="13"/>
        <v>5.6134619762622184E-2</v>
      </c>
      <c r="AZ20">
        <f t="shared" si="14"/>
        <v>2.5126542522588707E-2</v>
      </c>
      <c r="BA20" s="11">
        <f t="shared" si="34"/>
        <v>4.3571348501327829E-2</v>
      </c>
    </row>
    <row r="21" spans="1:53" x14ac:dyDescent="0.2">
      <c r="A21" t="s">
        <v>12</v>
      </c>
      <c r="B21" s="5">
        <f>B10 + B9 * B15</f>
        <v>0.02</v>
      </c>
      <c r="H21" s="10">
        <f t="shared" si="35"/>
        <v>17</v>
      </c>
      <c r="I21">
        <f t="shared" si="15"/>
        <v>250</v>
      </c>
      <c r="J21">
        <f t="shared" si="16"/>
        <v>0</v>
      </c>
      <c r="K21">
        <f t="shared" si="17"/>
        <v>-100</v>
      </c>
      <c r="L21" s="9">
        <f t="shared" si="0"/>
        <v>0.7141625624649357</v>
      </c>
      <c r="M21" s="11">
        <f t="shared" si="1"/>
        <v>0.7141625624649357</v>
      </c>
      <c r="N21" s="10">
        <f>SUMPRODUCT(I22:I$54, L22:L$54) / L21</f>
        <v>3748.0078129297099</v>
      </c>
      <c r="O21" s="10">
        <f>SUMPRODUCT(J22:J$54, M22:M$54) / M21</f>
        <v>8.9965323013305241E-4</v>
      </c>
      <c r="P21" s="10">
        <f>SUMPRODUCT(K22:K$54, M22:M$54) / M21</f>
        <v>-2398.8563553049362</v>
      </c>
      <c r="Q21" s="10" cm="1">
        <f t="array" ref="Q21">IF($H21 &gt;= $B$12 - 1, 0, SUMPRODUCT(I22:I$54*L22:L$54, $H22:$H$54 - $H21) / L21 /N21) / (1 + $B$10)</f>
        <v>8.7922628081256544</v>
      </c>
      <c r="R21" s="10" cm="1">
        <f t="array" ref="R21">SUMPRODUCT(J22:J$54*L22:L$54, $H22:$H$54 - $H21) / L21 /O21 / (1 + $B$10)</f>
        <v>25.128329227761672</v>
      </c>
      <c r="S21" s="10" cm="1">
        <f t="array" ref="S21">SUMPRODUCT(K22:K$54*M22:M$54, $H22:$H$54 - $H21) / M21 /P21 / (1 + $B$10)</f>
        <v>14.918846790360561</v>
      </c>
      <c r="T21" s="10">
        <f t="shared" si="36"/>
        <v>0</v>
      </c>
      <c r="U21" s="10">
        <f t="shared" si="37"/>
        <v>150</v>
      </c>
      <c r="V21" s="10">
        <f t="shared" si="18"/>
        <v>1349.1523572780038</v>
      </c>
      <c r="W21">
        <f t="shared" si="38"/>
        <v>3879.4198552335752</v>
      </c>
      <c r="X21" s="10">
        <f t="shared" si="19"/>
        <v>5228.572212511579</v>
      </c>
      <c r="Y21" s="10">
        <f t="shared" si="2"/>
        <v>3748.0078129297099</v>
      </c>
      <c r="Z21">
        <f t="shared" si="3"/>
        <v>0</v>
      </c>
      <c r="AA21" s="10">
        <f t="shared" si="4"/>
        <v>1781.2686323343926</v>
      </c>
      <c r="AB21" s="10">
        <f t="shared" si="5"/>
        <v>1966.7391805953173</v>
      </c>
      <c r="AC21" s="10">
        <f t="shared" si="6"/>
        <v>1.2219882463568961E-3</v>
      </c>
      <c r="AD21" s="10">
        <f t="shared" si="7"/>
        <v>-3.2233501622384365E-4</v>
      </c>
      <c r="AE21">
        <f t="shared" si="20"/>
        <v>-1934.495699290653</v>
      </c>
      <c r="AF21" s="10">
        <f t="shared" si="8"/>
        <v>-464.36065601428322</v>
      </c>
      <c r="AG21" s="10">
        <f t="shared" si="21"/>
        <v>-153.22584496801392</v>
      </c>
      <c r="AH21" s="10">
        <f t="shared" si="22"/>
        <v>1502.3782022460177</v>
      </c>
      <c r="AI21">
        <f t="shared" si="9"/>
        <v>3227.513711426901</v>
      </c>
      <c r="AJ21">
        <f t="shared" si="10"/>
        <v>806.87842785672524</v>
      </c>
      <c r="AK21" s="10">
        <f t="shared" si="11"/>
        <v>1194.1800732279528</v>
      </c>
      <c r="AL21" s="4">
        <f t="shared" si="23"/>
        <v>0.61728395061728403</v>
      </c>
      <c r="AM21">
        <f t="shared" si="12"/>
        <v>3227.513711426901</v>
      </c>
      <c r="AN21" s="10">
        <f t="shared" si="24"/>
        <v>960.10427282473916</v>
      </c>
      <c r="AO21" s="10">
        <f t="shared" si="24"/>
        <v>-308.19812901806495</v>
      </c>
      <c r="AP21" s="10">
        <f t="shared" si="25"/>
        <v>651.90614380667421</v>
      </c>
      <c r="AQ21" s="9">
        <f t="shared" si="26"/>
        <v>1</v>
      </c>
      <c r="AR21" s="9">
        <f t="shared" si="27"/>
        <v>0</v>
      </c>
      <c r="AS21">
        <f t="shared" si="39"/>
        <v>3227.513711426901</v>
      </c>
      <c r="AT21">
        <f t="shared" si="40"/>
        <v>651.90614380667421</v>
      </c>
      <c r="AU21">
        <f t="shared" si="41"/>
        <v>0</v>
      </c>
      <c r="AV21">
        <f t="shared" si="31"/>
        <v>0.83195782665100992</v>
      </c>
      <c r="AW21">
        <f t="shared" si="32"/>
        <v>0.16804217334899002</v>
      </c>
      <c r="AX21">
        <f t="shared" si="33"/>
        <v>0</v>
      </c>
      <c r="AY21" s="3">
        <f t="shared" si="13"/>
        <v>5.4958734799530298E-2</v>
      </c>
      <c r="AZ21">
        <f t="shared" si="14"/>
        <v>2.3340700714131052E-2</v>
      </c>
      <c r="BA21" s="11">
        <f t="shared" si="34"/>
        <v>4.3288384442464772E-2</v>
      </c>
    </row>
    <row r="22" spans="1:53" x14ac:dyDescent="0.2">
      <c r="A22" t="s">
        <v>13</v>
      </c>
      <c r="B22" s="2">
        <f>B10</f>
        <v>0.02</v>
      </c>
      <c r="H22" s="10">
        <f t="shared" si="35"/>
        <v>18</v>
      </c>
      <c r="I22">
        <f t="shared" si="15"/>
        <v>250</v>
      </c>
      <c r="J22">
        <f t="shared" si="16"/>
        <v>0</v>
      </c>
      <c r="K22">
        <f t="shared" si="17"/>
        <v>-100</v>
      </c>
      <c r="L22" s="9">
        <f t="shared" si="0"/>
        <v>0.7001593749656233</v>
      </c>
      <c r="M22" s="11">
        <f t="shared" si="1"/>
        <v>0.7001593749656233</v>
      </c>
      <c r="N22" s="10">
        <f>SUMPRODUCT(I23:I$54, L23:L$54) / L22</f>
        <v>3572.9679691883043</v>
      </c>
      <c r="O22" s="10">
        <f>SUMPRODUCT(J23:J$54, M23:M$54) / M22</f>
        <v>9.1764629473571342E-4</v>
      </c>
      <c r="P22" s="10">
        <f>SUMPRODUCT(K23:K$54, M23:M$54) / M22</f>
        <v>-2346.8334824110348</v>
      </c>
      <c r="Q22" s="10" cm="1">
        <f t="array" ref="Q22">IF($H22 &gt;= $B$12 - 1, 0, SUMPRODUCT(I23:I$54*L23:L$54, $H23:$H$54 - $H22) / L22 /N22) / (1 + $B$10)</f>
        <v>8.3584659971090645</v>
      </c>
      <c r="R22" s="10" cm="1">
        <f t="array" ref="R22">SUMPRODUCT(J23:J$54*L23:L$54, $H23:$H$54 - $H22) / L22 /O22 / (1 + $B$10)</f>
        <v>24.14793707089893</v>
      </c>
      <c r="S22" s="10" cm="1">
        <f t="array" ref="S22">SUMPRODUCT(K23:K$54*M23:M$54, $H23:$H$54 - $H22) / M22 /P22 / (1 + $B$10)</f>
        <v>14.532380650744596</v>
      </c>
      <c r="T22" s="10">
        <f t="shared" si="36"/>
        <v>0</v>
      </c>
      <c r="U22" s="10">
        <f t="shared" si="37"/>
        <v>150</v>
      </c>
      <c r="V22" s="10">
        <f t="shared" si="18"/>
        <v>1226.1354044235641</v>
      </c>
      <c r="W22">
        <f t="shared" si="38"/>
        <v>4197.3536733406572</v>
      </c>
      <c r="X22" s="10">
        <f t="shared" si="19"/>
        <v>5423.4890777642213</v>
      </c>
      <c r="Y22" s="10">
        <f t="shared" si="2"/>
        <v>3572.9679691883043</v>
      </c>
      <c r="Z22">
        <f t="shared" si="3"/>
        <v>0</v>
      </c>
      <c r="AA22" s="10">
        <f t="shared" si="4"/>
        <v>1614.2989880659604</v>
      </c>
      <c r="AB22" s="10">
        <f t="shared" si="5"/>
        <v>1958.6689811223439</v>
      </c>
      <c r="AC22" s="10">
        <f t="shared" si="6"/>
        <v>1.1977981069525179E-3</v>
      </c>
      <c r="AD22" s="10">
        <f t="shared" si="7"/>
        <v>-2.8015181221680452E-4</v>
      </c>
      <c r="AE22">
        <f t="shared" si="20"/>
        <v>-1843.5177021789016</v>
      </c>
      <c r="AF22" s="10">
        <f t="shared" si="8"/>
        <v>-503.31578023213319</v>
      </c>
      <c r="AG22" s="10">
        <f t="shared" si="21"/>
        <v>-229.21751631483426</v>
      </c>
      <c r="AH22" s="10">
        <f t="shared" si="22"/>
        <v>1455.3529207383986</v>
      </c>
      <c r="AI22">
        <f t="shared" si="9"/>
        <v>3347.8327640519888</v>
      </c>
      <c r="AJ22">
        <f t="shared" si="10"/>
        <v>836.95819101299719</v>
      </c>
      <c r="AK22" s="10">
        <f t="shared" si="11"/>
        <v>1238.6981226992352</v>
      </c>
      <c r="AL22" s="4">
        <f t="shared" si="23"/>
        <v>0.61728395061728403</v>
      </c>
      <c r="AM22">
        <f t="shared" si="12"/>
        <v>3347.8327640519888</v>
      </c>
      <c r="AN22" s="10">
        <f t="shared" si="24"/>
        <v>1066.1757073278313</v>
      </c>
      <c r="AO22" s="10">
        <f t="shared" si="24"/>
        <v>-216.65479803916332</v>
      </c>
      <c r="AP22" s="10">
        <f t="shared" si="25"/>
        <v>849.52090928866801</v>
      </c>
      <c r="AQ22" s="9">
        <f t="shared" si="26"/>
        <v>1</v>
      </c>
      <c r="AR22" s="9">
        <f t="shared" si="27"/>
        <v>0</v>
      </c>
      <c r="AS22">
        <f t="shared" si="39"/>
        <v>3347.8327640519888</v>
      </c>
      <c r="AT22">
        <f t="shared" si="40"/>
        <v>849.52090928866801</v>
      </c>
      <c r="AU22">
        <f t="shared" si="41"/>
        <v>0</v>
      </c>
      <c r="AV22">
        <f t="shared" si="31"/>
        <v>0.7976055926179465</v>
      </c>
      <c r="AW22">
        <f t="shared" si="32"/>
        <v>0.20239440738205361</v>
      </c>
      <c r="AX22">
        <f t="shared" si="33"/>
        <v>0</v>
      </c>
      <c r="AY22" s="3">
        <f t="shared" si="13"/>
        <v>5.3928167778538399E-2</v>
      </c>
      <c r="AZ22">
        <f t="shared" si="14"/>
        <v>2.1939276951484649E-2</v>
      </c>
      <c r="BA22" s="11">
        <f t="shared" si="34"/>
        <v>4.2958529302796075E-2</v>
      </c>
    </row>
    <row r="23" spans="1:53" x14ac:dyDescent="0.2">
      <c r="H23" s="10">
        <f t="shared" si="35"/>
        <v>19</v>
      </c>
      <c r="I23">
        <f t="shared" si="15"/>
        <v>250</v>
      </c>
      <c r="J23">
        <f t="shared" si="16"/>
        <v>0</v>
      </c>
      <c r="K23">
        <f t="shared" si="17"/>
        <v>-100</v>
      </c>
      <c r="L23" s="9">
        <f t="shared" si="0"/>
        <v>0.68643075977021895</v>
      </c>
      <c r="M23" s="11">
        <f t="shared" si="1"/>
        <v>0.68643075977021895</v>
      </c>
      <c r="N23" s="10">
        <f>SUMPRODUCT(I24:I$54, L24:L$54) / L23</f>
        <v>3394.4273285720701</v>
      </c>
      <c r="O23" s="10">
        <f>SUMPRODUCT(J24:J$54, M24:M$54) / M23</f>
        <v>9.3599922063042763E-4</v>
      </c>
      <c r="P23" s="10">
        <f>SUMPRODUCT(K24:K$54, M24:M$54) / M23</f>
        <v>-2293.770152059255</v>
      </c>
      <c r="Q23" s="10" cm="1">
        <f t="array" ref="Q23">IF($H23 &gt;= $B$12 - 1, 0, SUMPRODUCT(I24:I$54*L24:L$54, $H24:$H$54 - $H23) / L23 /N23) / (1 + $B$10)</f>
        <v>7.9214699072457897</v>
      </c>
      <c r="R23" s="10" cm="1">
        <f t="array" ref="R23">SUMPRODUCT(J24:J$54*L24:L$54, $H24:$H$54 - $H23) / L23 /O23 / (1 + $B$10)</f>
        <v>23.167544914036185</v>
      </c>
      <c r="S23" s="10" cm="1">
        <f t="array" ref="S23">SUMPRODUCT(K24:K$54*M24:M$54, $H24:$H$54 - $H23) / M23 /P23 / (1 + $B$10)</f>
        <v>14.14280568982956</v>
      </c>
      <c r="T23" s="10">
        <f t="shared" si="36"/>
        <v>0</v>
      </c>
      <c r="U23" s="10">
        <f t="shared" si="37"/>
        <v>150</v>
      </c>
      <c r="V23" s="10">
        <f t="shared" si="18"/>
        <v>1100.6581125120356</v>
      </c>
      <c r="W23">
        <f t="shared" si="38"/>
        <v>4527.6658141110611</v>
      </c>
      <c r="X23" s="10">
        <f t="shared" si="19"/>
        <v>5628.3239266230967</v>
      </c>
      <c r="Y23" s="10">
        <f t="shared" si="2"/>
        <v>3394.4273285720701</v>
      </c>
      <c r="Z23">
        <f t="shared" si="3"/>
        <v>0</v>
      </c>
      <c r="AA23" s="10">
        <f t="shared" si="4"/>
        <v>1453.4515640873713</v>
      </c>
      <c r="AB23" s="10">
        <f t="shared" si="5"/>
        <v>1940.9757644846989</v>
      </c>
      <c r="AC23" s="10">
        <f t="shared" si="6"/>
        <v>1.1721515666734215E-3</v>
      </c>
      <c r="AD23" s="10">
        <f t="shared" si="7"/>
        <v>-2.3615234604299385E-4</v>
      </c>
      <c r="AE23">
        <f t="shared" si="20"/>
        <v>-1753.53219230837</v>
      </c>
      <c r="AF23" s="10">
        <f t="shared" si="8"/>
        <v>-540.23795975088501</v>
      </c>
      <c r="AG23" s="10">
        <f t="shared" si="21"/>
        <v>-300.07945606943213</v>
      </c>
      <c r="AH23" s="10">
        <f t="shared" si="22"/>
        <v>1400.7375685814677</v>
      </c>
      <c r="AI23">
        <f t="shared" si="9"/>
        <v>3474.2740287796896</v>
      </c>
      <c r="AJ23">
        <f t="shared" si="10"/>
        <v>868.5685071949224</v>
      </c>
      <c r="AK23" s="10">
        <f t="shared" si="11"/>
        <v>1285.4813906484846</v>
      </c>
      <c r="AL23" s="4">
        <f t="shared" si="23"/>
        <v>0.61728395061728392</v>
      </c>
      <c r="AM23">
        <f t="shared" si="12"/>
        <v>3474.2740287796896</v>
      </c>
      <c r="AN23" s="10">
        <f t="shared" si="24"/>
        <v>1168.6479632643545</v>
      </c>
      <c r="AO23" s="10">
        <f t="shared" si="24"/>
        <v>-115.25617793298306</v>
      </c>
      <c r="AP23" s="10">
        <f t="shared" si="25"/>
        <v>1053.3917853313715</v>
      </c>
      <c r="AQ23" s="9">
        <f t="shared" si="26"/>
        <v>1</v>
      </c>
      <c r="AR23" s="9">
        <f t="shared" si="27"/>
        <v>0</v>
      </c>
      <c r="AS23">
        <f t="shared" si="39"/>
        <v>3474.2740287796896</v>
      </c>
      <c r="AT23">
        <f t="shared" si="40"/>
        <v>1053.3917853313715</v>
      </c>
      <c r="AU23">
        <f t="shared" si="41"/>
        <v>0</v>
      </c>
      <c r="AV23">
        <f t="shared" si="31"/>
        <v>0.76734330037160903</v>
      </c>
      <c r="AW23">
        <f t="shared" si="32"/>
        <v>0.23265669962839097</v>
      </c>
      <c r="AX23">
        <f t="shared" si="33"/>
        <v>0</v>
      </c>
      <c r="AY23" s="3">
        <f t="shared" si="13"/>
        <v>5.302029901114827E-2</v>
      </c>
      <c r="AZ23">
        <f t="shared" si="14"/>
        <v>2.0831414128432264E-2</v>
      </c>
      <c r="BA23" s="11">
        <f t="shared" si="34"/>
        <v>4.2604591946932141E-2</v>
      </c>
    </row>
    <row r="24" spans="1:53" x14ac:dyDescent="0.2">
      <c r="A24" t="s">
        <v>14</v>
      </c>
      <c r="H24" s="10">
        <f t="shared" si="35"/>
        <v>20</v>
      </c>
      <c r="I24">
        <f t="shared" si="15"/>
        <v>250</v>
      </c>
      <c r="J24">
        <f t="shared" si="16"/>
        <v>0</v>
      </c>
      <c r="K24">
        <f t="shared" si="17"/>
        <v>-100</v>
      </c>
      <c r="L24" s="9">
        <f t="shared" si="0"/>
        <v>0.67297133310805779</v>
      </c>
      <c r="M24" s="11">
        <f t="shared" si="1"/>
        <v>0.67297133310805779</v>
      </c>
      <c r="N24" s="10">
        <f>SUMPRODUCT(I25:I$54, L25:L$54) / L24</f>
        <v>3212.3158751435112</v>
      </c>
      <c r="O24" s="10">
        <f>SUMPRODUCT(J25:J$54, M25:M$54) / M24</f>
        <v>9.5471920504303618E-4</v>
      </c>
      <c r="P24" s="10">
        <f>SUMPRODUCT(K25:K$54, M25:M$54) / M24</f>
        <v>-2239.6455551004401</v>
      </c>
      <c r="Q24" s="10" cm="1">
        <f t="array" ref="Q24">IF($H24 &gt;= $B$12 - 1, 0, SUMPRODUCT(I25:I$54*L25:L$54, $H25:$H$54 - $H24) / L24 /N24) / (1 + $B$10)</f>
        <v>7.4812704042322649</v>
      </c>
      <c r="R24" s="10" cm="1">
        <f t="array" ref="R24">SUMPRODUCT(J25:J$54*L25:L$54, $H25:$H$54 - $H24) / L24 /O24 / (1 + $B$10)</f>
        <v>22.18715275717344</v>
      </c>
      <c r="S24" s="10" cm="1">
        <f t="array" ref="S24">SUMPRODUCT(K25:K$54*M25:M$54, $H25:$H$54 - $H24) / M24 /P24 / (1 + $B$10)</f>
        <v>13.750114274407416</v>
      </c>
      <c r="T24" s="10">
        <f t="shared" si="36"/>
        <v>0</v>
      </c>
      <c r="U24" s="10">
        <f t="shared" si="37"/>
        <v>150</v>
      </c>
      <c r="V24" s="10">
        <f t="shared" si="18"/>
        <v>972.67127476227597</v>
      </c>
      <c r="W24">
        <f t="shared" si="38"/>
        <v>4870.5651685933371</v>
      </c>
      <c r="X24" s="10">
        <f t="shared" si="19"/>
        <v>5843.2364433556131</v>
      </c>
      <c r="Y24" s="10">
        <f t="shared" si="2"/>
        <v>3212.3158751435112</v>
      </c>
      <c r="Z24">
        <f t="shared" si="3"/>
        <v>0</v>
      </c>
      <c r="AA24" s="10">
        <f t="shared" si="4"/>
        <v>1299.0380370679252</v>
      </c>
      <c r="AB24" s="10">
        <f t="shared" si="5"/>
        <v>1913.277838075586</v>
      </c>
      <c r="AC24" s="10">
        <f t="shared" si="6"/>
        <v>1.1450000455403802E-3</v>
      </c>
      <c r="AD24" s="10">
        <f t="shared" si="7"/>
        <v>-1.9028084049734406E-4</v>
      </c>
      <c r="AE24">
        <f t="shared" si="20"/>
        <v>-1664.6152603675505</v>
      </c>
      <c r="AF24" s="10">
        <f t="shared" si="8"/>
        <v>-575.03029473288962</v>
      </c>
      <c r="AG24" s="10">
        <f t="shared" si="21"/>
        <v>-365.57607829957965</v>
      </c>
      <c r="AH24" s="10">
        <f t="shared" si="22"/>
        <v>1338.2473530618558</v>
      </c>
      <c r="AI24">
        <f t="shared" si="9"/>
        <v>3606.9360761454404</v>
      </c>
      <c r="AJ24">
        <f t="shared" si="10"/>
        <v>901.73401903636011</v>
      </c>
      <c r="AK24" s="10">
        <f t="shared" si="11"/>
        <v>1334.5663481738125</v>
      </c>
      <c r="AL24" s="4">
        <f t="shared" si="23"/>
        <v>0.61728395061728414</v>
      </c>
      <c r="AM24">
        <f t="shared" si="12"/>
        <v>3606.9360761454404</v>
      </c>
      <c r="AN24" s="10">
        <f t="shared" si="24"/>
        <v>1267.3100973359396</v>
      </c>
      <c r="AO24" s="10">
        <f t="shared" si="24"/>
        <v>-3.6810048880433897</v>
      </c>
      <c r="AP24" s="10">
        <f t="shared" si="25"/>
        <v>1263.6290924478963</v>
      </c>
      <c r="AQ24" s="9">
        <f t="shared" si="26"/>
        <v>1</v>
      </c>
      <c r="AR24" s="9">
        <f t="shared" si="27"/>
        <v>0</v>
      </c>
      <c r="AS24">
        <f t="shared" si="39"/>
        <v>3606.9360761454404</v>
      </c>
      <c r="AT24">
        <f t="shared" si="40"/>
        <v>1263.6290924478963</v>
      </c>
      <c r="AU24">
        <f t="shared" si="41"/>
        <v>0</v>
      </c>
      <c r="AV24">
        <f t="shared" si="31"/>
        <v>0.74055801560851631</v>
      </c>
      <c r="AW24">
        <f t="shared" si="32"/>
        <v>0.25944198439148358</v>
      </c>
      <c r="AX24">
        <f t="shared" si="33"/>
        <v>0</v>
      </c>
      <c r="AY24" s="3">
        <f t="shared" si="13"/>
        <v>5.2216740468255488E-2</v>
      </c>
      <c r="AZ24">
        <f t="shared" si="14"/>
        <v>1.9949856695003262E-2</v>
      </c>
      <c r="BA24" s="11">
        <f t="shared" si="34"/>
        <v>4.2241812120753855E-2</v>
      </c>
    </row>
    <row r="25" spans="1:53" x14ac:dyDescent="0.2">
      <c r="A25" t="s">
        <v>15</v>
      </c>
      <c r="B25" s="4">
        <f>B15/C15</f>
        <v>0.22222222222222224</v>
      </c>
      <c r="H25" s="10">
        <f t="shared" si="35"/>
        <v>21</v>
      </c>
      <c r="I25">
        <f t="shared" si="15"/>
        <v>250</v>
      </c>
      <c r="J25">
        <f t="shared" si="16"/>
        <v>0</v>
      </c>
      <c r="K25">
        <f t="shared" si="17"/>
        <v>-100</v>
      </c>
      <c r="L25" s="9">
        <f t="shared" si="0"/>
        <v>0.65977581677260566</v>
      </c>
      <c r="M25" s="11">
        <f t="shared" si="1"/>
        <v>0.65977581677260566</v>
      </c>
      <c r="N25" s="10">
        <f>SUMPRODUCT(I26:I$54, L26:L$54) / L25</f>
        <v>3026.5621926463809</v>
      </c>
      <c r="O25" s="10">
        <f>SUMPRODUCT(J26:J$54, M26:M$54) / M25</f>
        <v>9.7381358914389688E-4</v>
      </c>
      <c r="P25" s="10">
        <f>SUMPRODUCT(K26:K$54, M26:M$54) / M25</f>
        <v>-2184.4384662024495</v>
      </c>
      <c r="Q25" s="10" cm="1">
        <f t="array" ref="Q25">IF($H25 &gt;= $B$12 - 1, 0, SUMPRODUCT(I26:I$54*L26:L$54, $H26:$H$54 - $H25) / L25 /N25) / (1 + $B$10)</f>
        <v>7.0378635985350027</v>
      </c>
      <c r="R25" s="10" cm="1">
        <f t="array" ref="R25">SUMPRODUCT(J26:J$54*L26:L$54, $H26:$H$54 - $H25) / L25 /O25 / (1 + $B$10)</f>
        <v>21.206760600310695</v>
      </c>
      <c r="S25" s="10" cm="1">
        <f t="array" ref="S25">SUMPRODUCT(K26:K$54*M26:M$54, $H26:$H$54 - $H25) / M25 /P25 / (1 + $B$10)</f>
        <v>13.354298992339601</v>
      </c>
      <c r="T25" s="10">
        <f t="shared" si="36"/>
        <v>0</v>
      </c>
      <c r="U25" s="10">
        <f t="shared" si="37"/>
        <v>150</v>
      </c>
      <c r="V25" s="10">
        <f t="shared" si="18"/>
        <v>842.12470025752054</v>
      </c>
      <c r="W25">
        <f>W24 * (1+BA24) + U25</f>
        <v>5226.3066673669455</v>
      </c>
      <c r="X25" s="10">
        <f t="shared" si="19"/>
        <v>6068.4313676244656</v>
      </c>
      <c r="Y25" s="10">
        <f t="shared" si="2"/>
        <v>3026.5621926463809</v>
      </c>
      <c r="Z25">
        <f t="shared" si="3"/>
        <v>0</v>
      </c>
      <c r="AA25" s="10">
        <f t="shared" si="4"/>
        <v>1151.380101855581</v>
      </c>
      <c r="AB25" s="10">
        <f t="shared" si="5"/>
        <v>1875.1820907908</v>
      </c>
      <c r="AC25" s="10">
        <f t="shared" si="6"/>
        <v>1.1162936029353481E-3</v>
      </c>
      <c r="AD25" s="10">
        <f t="shared" si="7"/>
        <v>-1.4248001379145122E-4</v>
      </c>
      <c r="AE25">
        <f t="shared" si="20"/>
        <v>-1576.8456436775803</v>
      </c>
      <c r="AF25" s="10">
        <f t="shared" si="8"/>
        <v>-607.59282252486923</v>
      </c>
      <c r="AG25" s="10">
        <f t="shared" si="21"/>
        <v>-425.4644255283963</v>
      </c>
      <c r="AH25" s="10">
        <f t="shared" si="22"/>
        <v>1267.5891257859171</v>
      </c>
      <c r="AI25">
        <f t="shared" si="9"/>
        <v>3745.945288657078</v>
      </c>
      <c r="AJ25">
        <f t="shared" si="10"/>
        <v>936.4863221642695</v>
      </c>
      <c r="AK25" s="10">
        <f t="shared" si="11"/>
        <v>1385.9997568031181</v>
      </c>
      <c r="AL25" s="4">
        <f t="shared" si="23"/>
        <v>0.61728395061728403</v>
      </c>
      <c r="AM25">
        <f t="shared" si="12"/>
        <v>3745.945288657078</v>
      </c>
      <c r="AN25" s="10">
        <f t="shared" si="24"/>
        <v>1361.9507476926658</v>
      </c>
      <c r="AO25" s="10">
        <f t="shared" si="24"/>
        <v>118.41063101720101</v>
      </c>
      <c r="AP25" s="10">
        <f t="shared" si="25"/>
        <v>1480.3613787098668</v>
      </c>
      <c r="AQ25" s="9">
        <f t="shared" si="26"/>
        <v>0.92001234784955299</v>
      </c>
      <c r="AR25" s="9">
        <f t="shared" si="27"/>
        <v>7.9987652150447036E-2</v>
      </c>
      <c r="AS25">
        <f t="shared" si="39"/>
        <v>3745.945288657078</v>
      </c>
      <c r="AT25">
        <f t="shared" si="40"/>
        <v>1361.9507476926658</v>
      </c>
      <c r="AU25">
        <f t="shared" si="41"/>
        <v>118.41063101720169</v>
      </c>
      <c r="AV25">
        <f t="shared" si="31"/>
        <v>0.71674808369871545</v>
      </c>
      <c r="AW25">
        <f t="shared" si="32"/>
        <v>0.26059526054922977</v>
      </c>
      <c r="AX25">
        <f t="shared" si="33"/>
        <v>2.2656655752054809E-2</v>
      </c>
      <c r="AY25" s="3">
        <f t="shared" si="13"/>
        <v>5.1275875953440922E-2</v>
      </c>
      <c r="AZ25">
        <f t="shared" si="14"/>
        <v>1.8845061651930659E-2</v>
      </c>
      <c r="BA25" s="11">
        <f t="shared" si="34"/>
        <v>4.1853345127475593E-2</v>
      </c>
    </row>
    <row r="26" spans="1:53" x14ac:dyDescent="0.2">
      <c r="A26" t="s">
        <v>7</v>
      </c>
      <c r="B26" s="4">
        <f>B16/C16</f>
        <v>5.5555555555555559E-2</v>
      </c>
      <c r="H26" s="10">
        <f t="shared" si="35"/>
        <v>22</v>
      </c>
      <c r="I26">
        <f t="shared" si="15"/>
        <v>250</v>
      </c>
      <c r="J26">
        <f t="shared" si="16"/>
        <v>0</v>
      </c>
      <c r="K26">
        <f t="shared" si="17"/>
        <v>-100</v>
      </c>
      <c r="L26" s="9">
        <f t="shared" si="0"/>
        <v>0.64683903605157411</v>
      </c>
      <c r="M26" s="11">
        <f t="shared" si="1"/>
        <v>0.64683903605157411</v>
      </c>
      <c r="N26" s="10">
        <f>SUMPRODUCT(I27:I$54, L27:L$54) / L26</f>
        <v>2837.0934364993095</v>
      </c>
      <c r="O26" s="10">
        <f>SUMPRODUCT(J27:J$54, M27:M$54) / M26</f>
        <v>9.9328986092677503E-4</v>
      </c>
      <c r="P26" s="10">
        <f>SUMPRODUCT(K27:K$54, M27:M$54) / M26</f>
        <v>-2128.1272355264987</v>
      </c>
      <c r="Q26" s="10" cm="1">
        <f t="array" ref="Q26">IF($H26 &gt;= $B$12 - 1, 0, SUMPRODUCT(I27:I$54*L27:L$54, $H27:$H$54 - $H26) / L26 /N26) / (1 + $B$10)</f>
        <v>6.5912458464682588</v>
      </c>
      <c r="R26" s="10" cm="1">
        <f t="array" ref="R26">SUMPRODUCT(J27:J$54*L27:L$54, $H27:$H$54 - $H26) / L26 /O26 / (1 + $B$10)</f>
        <v>20.226368443447949</v>
      </c>
      <c r="S26" s="10" cm="1">
        <f t="array" ref="S26">SUMPRODUCT(K27:K$54*M27:M$54, $H27:$H$54 - $H26) / M26 /P26 / (1 + $B$10)</f>
        <v>12.955352654547704</v>
      </c>
      <c r="T26" s="10">
        <f t="shared" si="36"/>
        <v>0</v>
      </c>
      <c r="U26" s="10">
        <f t="shared" si="37"/>
        <v>150</v>
      </c>
      <c r="V26" s="10">
        <f t="shared" si="18"/>
        <v>708.96719426267191</v>
      </c>
      <c r="W26">
        <f t="shared" ref="W26:W38" si="42">W25 * (1+BA25) + U26</f>
        <v>5595.0450840582816</v>
      </c>
      <c r="X26" s="10">
        <f t="shared" si="19"/>
        <v>6304.0122783209536</v>
      </c>
      <c r="Y26" s="10">
        <f t="shared" si="2"/>
        <v>2837.0934364993095</v>
      </c>
      <c r="Z26">
        <f t="shared" si="3"/>
        <v>0</v>
      </c>
      <c r="AA26" s="10">
        <f t="shared" si="4"/>
        <v>1010.8097475334288</v>
      </c>
      <c r="AB26" s="10">
        <f t="shared" si="5"/>
        <v>1826.2836889658806</v>
      </c>
      <c r="AC26" s="10">
        <f t="shared" si="6"/>
        <v>1.0859809026078986E-3</v>
      </c>
      <c r="AD26" s="10">
        <f t="shared" si="7"/>
        <v>-9.2691041681123611E-5</v>
      </c>
      <c r="AE26">
        <f t="shared" si="20"/>
        <v>-1490.3048016212699</v>
      </c>
      <c r="AF26" s="10">
        <f t="shared" si="8"/>
        <v>-637.82243390522876</v>
      </c>
      <c r="AG26" s="10">
        <f t="shared" si="21"/>
        <v>-479.4939681069385</v>
      </c>
      <c r="AH26" s="10">
        <f t="shared" si="22"/>
        <v>1188.4611623696101</v>
      </c>
      <c r="AI26">
        <f t="shared" si="9"/>
        <v>3891.3656039018238</v>
      </c>
      <c r="AJ26">
        <f t="shared" si="10"/>
        <v>972.84140097545594</v>
      </c>
      <c r="AK26" s="10">
        <f t="shared" si="11"/>
        <v>1439.8052734436737</v>
      </c>
      <c r="AL26" s="4">
        <f t="shared" si="23"/>
        <v>0.61728395061728403</v>
      </c>
      <c r="AM26">
        <f t="shared" si="12"/>
        <v>3891.3656039018238</v>
      </c>
      <c r="AN26" s="10">
        <f t="shared" si="24"/>
        <v>1452.3353690823944</v>
      </c>
      <c r="AO26" s="10">
        <f t="shared" si="24"/>
        <v>251.34411107406368</v>
      </c>
      <c r="AP26" s="10">
        <f t="shared" si="25"/>
        <v>1703.6794801564581</v>
      </c>
      <c r="AQ26" s="9">
        <f t="shared" si="26"/>
        <v>0.85246983719556135</v>
      </c>
      <c r="AR26" s="9">
        <f t="shared" si="27"/>
        <v>0.14753016280443865</v>
      </c>
      <c r="AS26">
        <f t="shared" si="39"/>
        <v>3891.3656039018238</v>
      </c>
      <c r="AT26">
        <f t="shared" si="40"/>
        <v>1452.3353690823944</v>
      </c>
      <c r="AU26">
        <f t="shared" si="41"/>
        <v>251.34411107406345</v>
      </c>
      <c r="AV26">
        <f t="shared" si="31"/>
        <v>0.69550209970413324</v>
      </c>
      <c r="AW26">
        <f t="shared" si="32"/>
        <v>0.2595752754916078</v>
      </c>
      <c r="AX26">
        <f t="shared" si="33"/>
        <v>4.4922624804258911E-2</v>
      </c>
      <c r="AY26" s="3">
        <f t="shared" si="13"/>
        <v>5.0415836743081408E-2</v>
      </c>
      <c r="AZ26">
        <f t="shared" si="14"/>
        <v>1.7855720816596629E-2</v>
      </c>
      <c r="BA26" s="11">
        <f t="shared" si="34"/>
        <v>4.1487976334783093E-2</v>
      </c>
    </row>
    <row r="27" spans="1:53" x14ac:dyDescent="0.2">
      <c r="H27" s="10">
        <f t="shared" si="35"/>
        <v>23</v>
      </c>
      <c r="I27">
        <f t="shared" si="15"/>
        <v>250</v>
      </c>
      <c r="J27">
        <f t="shared" si="16"/>
        <v>0</v>
      </c>
      <c r="K27">
        <f t="shared" si="17"/>
        <v>-100</v>
      </c>
      <c r="L27" s="9">
        <f t="shared" si="0"/>
        <v>0.63415591769762181</v>
      </c>
      <c r="M27" s="11">
        <f t="shared" si="1"/>
        <v>0.63415591769762181</v>
      </c>
      <c r="N27" s="10">
        <f>SUMPRODUCT(I28:I$54, L28:L$54) / L27</f>
        <v>2643.8353052292955</v>
      </c>
      <c r="O27" s="10">
        <f>SUMPRODUCT(J28:J$54, M28:M$54) / M27</f>
        <v>1.0131556581453101E-3</v>
      </c>
      <c r="P27" s="10">
        <f>SUMPRODUCT(K28:K$54, M28:M$54) / M27</f>
        <v>-2070.6897802370281</v>
      </c>
      <c r="Q27" s="10" cm="1">
        <f t="array" ref="Q27">IF($H27 &gt;= $B$12 - 1, 0, SUMPRODUCT(I28:I$54*L28:L$54, $H28:$H$54 - $H27) / L27 /N27) / (1 + $B$10)</f>
        <v>6.1414137512050084</v>
      </c>
      <c r="R27" s="10" cm="1">
        <f t="array" ref="R27">SUMPRODUCT(J28:J$54*L28:L$54, $H28:$H$54 - $H27) / L27 /O27 / (1 + $B$10)</f>
        <v>19.245976286585208</v>
      </c>
      <c r="S27" s="10" cm="1">
        <f t="array" ref="S27">SUMPRODUCT(K28:K$54*M28:M$54, $H28:$H$54 - $H27) / M27 /P27 / (1 + $B$10)</f>
        <v>12.553268296949522</v>
      </c>
      <c r="T27" s="10">
        <f t="shared" si="36"/>
        <v>0</v>
      </c>
      <c r="U27" s="10">
        <f t="shared" si="37"/>
        <v>150</v>
      </c>
      <c r="V27" s="10">
        <f t="shared" si="18"/>
        <v>573.14653814792564</v>
      </c>
      <c r="W27">
        <f t="shared" si="42"/>
        <v>5977.1721820977364</v>
      </c>
      <c r="X27" s="10">
        <f t="shared" si="19"/>
        <v>6550.318720245662</v>
      </c>
      <c r="Y27" s="10">
        <f t="shared" si="2"/>
        <v>2643.8353052292955</v>
      </c>
      <c r="Z27">
        <f t="shared" si="3"/>
        <v>0</v>
      </c>
      <c r="AA27" s="10">
        <f t="shared" si="4"/>
        <v>877.66954051116147</v>
      </c>
      <c r="AB27" s="10">
        <f t="shared" si="5"/>
        <v>1766.1657647181341</v>
      </c>
      <c r="AC27" s="10">
        <f t="shared" si="6"/>
        <v>1.0540091768261766E-3</v>
      </c>
      <c r="AD27" s="10">
        <f t="shared" si="7"/>
        <v>-4.0853518680866469E-5</v>
      </c>
      <c r="AE27">
        <f t="shared" si="20"/>
        <v>-1405.076993030641</v>
      </c>
      <c r="AF27" s="10">
        <f t="shared" si="8"/>
        <v>-665.61278720638711</v>
      </c>
      <c r="AG27" s="10">
        <f t="shared" si="21"/>
        <v>-527.40639851030267</v>
      </c>
      <c r="AH27" s="10">
        <f t="shared" si="22"/>
        <v>1100.5529366582282</v>
      </c>
      <c r="AI27">
        <f t="shared" si="9"/>
        <v>4043.4066174355944</v>
      </c>
      <c r="AJ27">
        <f t="shared" si="10"/>
        <v>1010.8516543588986</v>
      </c>
      <c r="AK27" s="10">
        <f t="shared" si="11"/>
        <v>1496.0604484511691</v>
      </c>
      <c r="AL27" s="4">
        <f t="shared" si="23"/>
        <v>0.61728395061728392</v>
      </c>
      <c r="AM27">
        <f t="shared" si="12"/>
        <v>4043.4066174355944</v>
      </c>
      <c r="AN27" s="10">
        <f t="shared" si="24"/>
        <v>1538.2580528692013</v>
      </c>
      <c r="AO27" s="10">
        <f t="shared" si="24"/>
        <v>395.50751179294093</v>
      </c>
      <c r="AP27" s="10">
        <f t="shared" si="25"/>
        <v>1933.7655646621422</v>
      </c>
      <c r="AQ27" s="9">
        <f t="shared" si="26"/>
        <v>0.79547287477836437</v>
      </c>
      <c r="AR27" s="9">
        <f t="shared" si="27"/>
        <v>0.20452712522163566</v>
      </c>
      <c r="AS27">
        <f t="shared" si="39"/>
        <v>4043.4066174355944</v>
      </c>
      <c r="AT27">
        <f t="shared" si="40"/>
        <v>1538.2580528692013</v>
      </c>
      <c r="AU27">
        <f t="shared" si="41"/>
        <v>395.5075117929407</v>
      </c>
      <c r="AV27">
        <f t="shared" si="31"/>
        <v>0.67647484366370192</v>
      </c>
      <c r="AW27">
        <f t="shared" si="32"/>
        <v>0.25735548617395482</v>
      </c>
      <c r="AX27">
        <f t="shared" si="33"/>
        <v>6.616967016234325E-2</v>
      </c>
      <c r="AY27" s="3">
        <f t="shared" si="13"/>
        <v>4.9632548608287627E-2</v>
      </c>
      <c r="AZ27">
        <f t="shared" si="14"/>
        <v>1.6972741956106666E-2</v>
      </c>
      <c r="BA27" s="11">
        <f t="shared" si="34"/>
        <v>4.1146177630234294E-2</v>
      </c>
    </row>
    <row r="28" spans="1:53" x14ac:dyDescent="0.2">
      <c r="A28" t="s">
        <v>17</v>
      </c>
      <c r="B28">
        <f>1/B7 / (1 - D15^2)</f>
        <v>0.5</v>
      </c>
      <c r="H28" s="10">
        <f t="shared" si="35"/>
        <v>24</v>
      </c>
      <c r="I28">
        <f t="shared" si="15"/>
        <v>250</v>
      </c>
      <c r="J28">
        <f t="shared" si="16"/>
        <v>0</v>
      </c>
      <c r="K28">
        <f t="shared" si="17"/>
        <v>-100</v>
      </c>
      <c r="L28" s="9">
        <f t="shared" si="0"/>
        <v>0.62172148793884485</v>
      </c>
      <c r="M28" s="11">
        <f t="shared" si="1"/>
        <v>0.62172148793884485</v>
      </c>
      <c r="N28" s="10">
        <f>SUMPRODUCT(I29:I$54, L29:L$54) / L28</f>
        <v>2446.7120113338815</v>
      </c>
      <c r="O28" s="10">
        <f>SUMPRODUCT(J29:J$54, M29:M$54) / M28</f>
        <v>1.0334187713082164E-3</v>
      </c>
      <c r="P28" s="10">
        <f>SUMPRODUCT(K29:K$54, M29:M$54) / M28</f>
        <v>-2012.1035758417688</v>
      </c>
      <c r="Q28" s="10" cm="1">
        <f t="array" ref="Q28">IF($H28 &gt;= $B$12 - 1, 0, SUMPRODUCT(I29:I$54*L29:L$54, $H29:$H$54 - $H28) / L28 /N28) / (1 + $B$10)</f>
        <v>5.6883641637205686</v>
      </c>
      <c r="R28" s="10" cm="1">
        <f t="array" ref="R28">SUMPRODUCT(J29:J$54*L29:L$54, $H29:$H$54 - $H28) / L28 /O28 / (1 + $B$10)</f>
        <v>18.265584129722463</v>
      </c>
      <c r="S28" s="10" cm="1">
        <f t="array" ref="S28">SUMPRODUCT(K29:K$54*M29:M$54, $H29:$H$54 - $H28) / M28 /P28 / (1 + $B$10)</f>
        <v>12.148039182339472</v>
      </c>
      <c r="T28" s="10">
        <f t="shared" si="36"/>
        <v>0</v>
      </c>
      <c r="U28" s="10">
        <f t="shared" si="37"/>
        <v>150</v>
      </c>
      <c r="V28" s="10">
        <f t="shared" si="18"/>
        <v>434.60946891088406</v>
      </c>
      <c r="W28">
        <f t="shared" si="42"/>
        <v>6373.1099704288245</v>
      </c>
      <c r="X28" s="10">
        <f t="shared" si="19"/>
        <v>6807.7194393397085</v>
      </c>
      <c r="Y28" s="10">
        <f t="shared" si="2"/>
        <v>2446.7120113338815</v>
      </c>
      <c r="Z28">
        <f t="shared" si="3"/>
        <v>0</v>
      </c>
      <c r="AA28" s="10">
        <f t="shared" si="4"/>
        <v>752.31291482250413</v>
      </c>
      <c r="AB28" s="10">
        <f t="shared" si="5"/>
        <v>1694.3990965113774</v>
      </c>
      <c r="AC28" s="10">
        <f t="shared" si="6"/>
        <v>1.0203241896521429E-3</v>
      </c>
      <c r="AD28" s="10">
        <f t="shared" si="7"/>
        <v>1.3094581656073519E-5</v>
      </c>
      <c r="AE28">
        <f t="shared" si="20"/>
        <v>-1321.2493555811443</v>
      </c>
      <c r="AF28" s="10">
        <f t="shared" si="8"/>
        <v>-690.85422026062452</v>
      </c>
      <c r="AG28" s="10">
        <f t="shared" si="21"/>
        <v>-568.93542043445052</v>
      </c>
      <c r="AH28" s="10">
        <f t="shared" si="22"/>
        <v>1003.5448893453345</v>
      </c>
      <c r="AI28">
        <f t="shared" si="9"/>
        <v>4202.2959502096974</v>
      </c>
      <c r="AJ28">
        <f t="shared" si="10"/>
        <v>1050.5739875524243</v>
      </c>
      <c r="AK28" s="10">
        <f t="shared" si="11"/>
        <v>1554.8495015775868</v>
      </c>
      <c r="AL28" s="4">
        <f t="shared" si="23"/>
        <v>0.61728395061728403</v>
      </c>
      <c r="AM28">
        <f t="shared" si="12"/>
        <v>4202.2959502096974</v>
      </c>
      <c r="AN28" s="10">
        <f t="shared" si="24"/>
        <v>1619.509407986875</v>
      </c>
      <c r="AO28" s="10">
        <f t="shared" si="24"/>
        <v>551.30461223225234</v>
      </c>
      <c r="AP28" s="10">
        <f t="shared" si="25"/>
        <v>2170.8140202191271</v>
      </c>
      <c r="AQ28" s="9">
        <f t="shared" si="26"/>
        <v>0.74603784244188631</v>
      </c>
      <c r="AR28" s="9">
        <f t="shared" si="27"/>
        <v>0.2539621575581138</v>
      </c>
      <c r="AS28">
        <f t="shared" si="39"/>
        <v>4202.2959502096974</v>
      </c>
      <c r="AT28">
        <f t="shared" si="40"/>
        <v>1619.509407986875</v>
      </c>
      <c r="AU28">
        <f t="shared" si="41"/>
        <v>551.30461223225211</v>
      </c>
      <c r="AV28">
        <f t="shared" si="31"/>
        <v>0.65937916805269559</v>
      </c>
      <c r="AW28">
        <f t="shared" si="32"/>
        <v>0.25411603055672738</v>
      </c>
      <c r="AX28">
        <f t="shared" si="33"/>
        <v>8.6504801390577091E-2</v>
      </c>
      <c r="AY28" s="3">
        <f t="shared" si="13"/>
        <v>4.8916327027675094E-2</v>
      </c>
      <c r="AZ28">
        <f t="shared" si="14"/>
        <v>1.6179129353627832E-2</v>
      </c>
      <c r="BA28" s="11">
        <f t="shared" si="34"/>
        <v>4.0826762350861176E-2</v>
      </c>
    </row>
    <row r="29" spans="1:53" x14ac:dyDescent="0.2">
      <c r="A29" t="s">
        <v>18</v>
      </c>
      <c r="H29" s="10">
        <f t="shared" si="35"/>
        <v>25</v>
      </c>
      <c r="I29">
        <f t="shared" si="15"/>
        <v>250</v>
      </c>
      <c r="J29">
        <f t="shared" si="16"/>
        <v>0</v>
      </c>
      <c r="K29">
        <f t="shared" si="17"/>
        <v>-100</v>
      </c>
      <c r="L29" s="9">
        <f t="shared" si="0"/>
        <v>0.60953087052827937</v>
      </c>
      <c r="M29" s="11">
        <f t="shared" si="1"/>
        <v>0.60953087052827937</v>
      </c>
      <c r="N29" s="10">
        <f>SUMPRODUCT(I30:I$54, L30:L$54) / L29</f>
        <v>2245.6462515605581</v>
      </c>
      <c r="O29" s="10">
        <f>SUMPRODUCT(J30:J$54, M30:M$54) / M29</f>
        <v>1.0540871467343807E-3</v>
      </c>
      <c r="P29" s="10">
        <f>SUMPRODUCT(K30:K$54, M30:M$54) / M29</f>
        <v>-1952.3456473586036</v>
      </c>
      <c r="Q29" s="10" cm="1">
        <f t="array" ref="Q29">IF($H29 &gt;= $B$12 - 1, 0, SUMPRODUCT(I30:I$54*L30:L$54, $H30:$H$54 - $H29) / L29 /N29) / (1 + $B$10)</f>
        <v>5.2320941836684103</v>
      </c>
      <c r="R29" s="10" cm="1">
        <f t="array" ref="R29">SUMPRODUCT(J30:J$54*L30:L$54, $H30:$H$54 - $H29) / L29 /O29 / (1 + $B$10)</f>
        <v>17.285191972859714</v>
      </c>
      <c r="S29" s="10" cm="1">
        <f t="array" ref="S29">SUMPRODUCT(K30:K$54*M30:M$54, $H30:$H$54 - $H29) / M29 /P29 / (1 + $B$10)</f>
        <v>11.739658802212361</v>
      </c>
      <c r="T29" s="10">
        <f t="shared" si="36"/>
        <v>0</v>
      </c>
      <c r="U29" s="10">
        <f t="shared" si="37"/>
        <v>150</v>
      </c>
      <c r="V29" s="10">
        <f t="shared" si="18"/>
        <v>293.30165828910117</v>
      </c>
      <c r="W29">
        <f t="shared" si="42"/>
        <v>6783.3034166274256</v>
      </c>
      <c r="X29" s="10">
        <f t="shared" si="19"/>
        <v>7076.605074916527</v>
      </c>
      <c r="Y29" s="10">
        <f t="shared" si="2"/>
        <v>2245.6462515605581</v>
      </c>
      <c r="Z29">
        <f t="shared" si="3"/>
        <v>0</v>
      </c>
      <c r="AA29" s="10">
        <f t="shared" si="4"/>
        <v>635.10446980360882</v>
      </c>
      <c r="AB29" s="10">
        <f t="shared" si="5"/>
        <v>1610.5417817569491</v>
      </c>
      <c r="AC29" s="10">
        <f t="shared" si="6"/>
        <v>9.8487019932041705E-4</v>
      </c>
      <c r="AD29" s="10">
        <f t="shared" si="7"/>
        <v>6.921694741396367E-5</v>
      </c>
      <c r="AE29">
        <f t="shared" si="20"/>
        <v>-1238.9119872418605</v>
      </c>
      <c r="AF29" s="10">
        <f t="shared" si="8"/>
        <v>-713.43366011674311</v>
      </c>
      <c r="AG29" s="10">
        <f t="shared" si="21"/>
        <v>-603.80653256805238</v>
      </c>
      <c r="AH29" s="10">
        <f t="shared" si="22"/>
        <v>897.10819085715343</v>
      </c>
      <c r="AI29">
        <f t="shared" si="9"/>
        <v>4368.2747376027946</v>
      </c>
      <c r="AJ29">
        <f t="shared" si="10"/>
        <v>1092.0686844006987</v>
      </c>
      <c r="AK29" s="10">
        <f t="shared" si="11"/>
        <v>1616.2616529130337</v>
      </c>
      <c r="AL29" s="4">
        <f t="shared" si="23"/>
        <v>0.61728395061728403</v>
      </c>
      <c r="AM29">
        <f t="shared" si="12"/>
        <v>4368.2747376027946</v>
      </c>
      <c r="AN29" s="10">
        <f t="shared" si="24"/>
        <v>1695.8752169687509</v>
      </c>
      <c r="AO29" s="10">
        <f t="shared" si="24"/>
        <v>719.15346205588025</v>
      </c>
      <c r="AP29" s="10">
        <f t="shared" si="25"/>
        <v>2415.0286790246309</v>
      </c>
      <c r="AQ29" s="9">
        <f t="shared" si="26"/>
        <v>0.70221742362648554</v>
      </c>
      <c r="AR29" s="9">
        <f t="shared" si="27"/>
        <v>0.29778257637351463</v>
      </c>
      <c r="AS29">
        <f t="shared" si="39"/>
        <v>4368.2747376027946</v>
      </c>
      <c r="AT29">
        <f t="shared" si="40"/>
        <v>1695.8752169687511</v>
      </c>
      <c r="AU29">
        <f t="shared" si="41"/>
        <v>719.1534620558798</v>
      </c>
      <c r="AV29">
        <f t="shared" si="31"/>
        <v>0.64397454592627479</v>
      </c>
      <c r="AW29">
        <f t="shared" si="32"/>
        <v>0.25000727710510101</v>
      </c>
      <c r="AX29">
        <f t="shared" si="33"/>
        <v>0.10601817696862423</v>
      </c>
      <c r="AY29" s="3">
        <f t="shared" si="13"/>
        <v>4.8259054608102002E-2</v>
      </c>
      <c r="AZ29">
        <f t="shared" si="14"/>
        <v>1.5461502082769257E-2</v>
      </c>
      <c r="BA29" s="11">
        <f t="shared" si="34"/>
        <v>4.0528303566717376E-2</v>
      </c>
    </row>
    <row r="30" spans="1:53" x14ac:dyDescent="0.2">
      <c r="A30" t="s">
        <v>15</v>
      </c>
      <c r="B30" s="4">
        <f>B25 * B$28 / C15</f>
        <v>0.61728395061728403</v>
      </c>
      <c r="H30" s="10">
        <f t="shared" si="35"/>
        <v>26</v>
      </c>
      <c r="I30">
        <f t="shared" si="15"/>
        <v>250</v>
      </c>
      <c r="J30">
        <f t="shared" si="16"/>
        <v>0</v>
      </c>
      <c r="K30">
        <f t="shared" si="17"/>
        <v>-100</v>
      </c>
      <c r="L30" s="9">
        <f t="shared" si="0"/>
        <v>0.59757928483164635</v>
      </c>
      <c r="M30" s="11">
        <f t="shared" si="1"/>
        <v>0.59757928483164635</v>
      </c>
      <c r="N30" s="10">
        <f>SUMPRODUCT(I31:I$54, L31:L$54) / L30</f>
        <v>2040.55917659177</v>
      </c>
      <c r="O30" s="10">
        <f>SUMPRODUCT(J31:J$54, M31:M$54) / M30</f>
        <v>1.0751688896690685E-3</v>
      </c>
      <c r="P30" s="10">
        <f>SUMPRODUCT(K31:K$54, M31:M$54) / M30</f>
        <v>-1891.3925603057762</v>
      </c>
      <c r="Q30" s="10" cm="1">
        <f t="array" ref="Q30">IF($H30 &gt;= $B$12 - 1, 0, SUMPRODUCT(I31:I$54*L31:L$54, $H31:$H$54 - $H30) / L30 /N30) / (1 + $B$10)</f>
        <v>4.7726011601877012</v>
      </c>
      <c r="R30" s="10" cm="1">
        <f t="array" ref="R30">SUMPRODUCT(J31:J$54*L31:L$54, $H31:$H$54 - $H30) / L30 /O30 / (1 + $B$10)</f>
        <v>16.304799815996969</v>
      </c>
      <c r="S30" s="10" cm="1">
        <f t="array" ref="S30">SUMPRODUCT(K31:K$54*M31:M$54, $H31:$H$54 - $H30) / M30 /P30 / (1 + $B$10)</f>
        <v>11.328120878529543</v>
      </c>
      <c r="T30" s="10">
        <f t="shared" si="36"/>
        <v>0</v>
      </c>
      <c r="U30" s="10">
        <f t="shared" si="37"/>
        <v>150</v>
      </c>
      <c r="V30" s="10">
        <f t="shared" si="18"/>
        <v>149.16769145488342</v>
      </c>
      <c r="W30">
        <f t="shared" si="42"/>
        <v>7208.2191966816536</v>
      </c>
      <c r="X30" s="10">
        <f t="shared" si="19"/>
        <v>7357.386888136537</v>
      </c>
      <c r="Y30" s="10">
        <f t="shared" si="2"/>
        <v>2040.55917659177</v>
      </c>
      <c r="Z30">
        <f t="shared" si="3"/>
        <v>0</v>
      </c>
      <c r="AA30" s="10">
        <f t="shared" si="4"/>
        <v>526.42027533154283</v>
      </c>
      <c r="AB30" s="10">
        <f t="shared" si="5"/>
        <v>1514.1389012602272</v>
      </c>
      <c r="AC30" s="10">
        <f t="shared" si="6"/>
        <v>9.4758991969956183E-4</v>
      </c>
      <c r="AD30" s="10">
        <f t="shared" si="7"/>
        <v>1.2757896996950667E-4</v>
      </c>
      <c r="AE30">
        <f t="shared" si="20"/>
        <v>-1158.158029832179</v>
      </c>
      <c r="AF30" s="10">
        <f t="shared" si="8"/>
        <v>-733.23453047359726</v>
      </c>
      <c r="AG30" s="10">
        <f t="shared" si="21"/>
        <v>-631.73680691071638</v>
      </c>
      <c r="AH30" s="10">
        <f t="shared" si="22"/>
        <v>780.90449836559992</v>
      </c>
      <c r="AI30">
        <f t="shared" si="9"/>
        <v>4541.5968445287272</v>
      </c>
      <c r="AJ30">
        <f t="shared" si="10"/>
        <v>1135.3992111321818</v>
      </c>
      <c r="AK30" s="10">
        <f t="shared" si="11"/>
        <v>1680.390832475628</v>
      </c>
      <c r="AL30" s="4">
        <f t="shared" si="23"/>
        <v>0.61728395061728392</v>
      </c>
      <c r="AM30">
        <f t="shared" si="12"/>
        <v>4541.5968445287272</v>
      </c>
      <c r="AN30" s="10">
        <f t="shared" si="24"/>
        <v>1767.1360180428983</v>
      </c>
      <c r="AO30" s="10">
        <f t="shared" si="24"/>
        <v>899.48633411002811</v>
      </c>
      <c r="AP30" s="10">
        <f t="shared" si="25"/>
        <v>2666.6223521529264</v>
      </c>
      <c r="AQ30" s="9">
        <f t="shared" si="26"/>
        <v>0.66268701926096951</v>
      </c>
      <c r="AR30" s="9">
        <f t="shared" si="27"/>
        <v>0.33731298073903043</v>
      </c>
      <c r="AS30">
        <f t="shared" si="39"/>
        <v>4541.5968445287272</v>
      </c>
      <c r="AT30">
        <f t="shared" si="40"/>
        <v>1767.1360180428981</v>
      </c>
      <c r="AU30">
        <f t="shared" si="41"/>
        <v>899.48633411002834</v>
      </c>
      <c r="AV30">
        <f t="shared" si="31"/>
        <v>0.63005809349131314</v>
      </c>
      <c r="AW30">
        <f t="shared" si="32"/>
        <v>0.24515569932396195</v>
      </c>
      <c r="AX30">
        <f t="shared" si="33"/>
        <v>0.12478620718472493</v>
      </c>
      <c r="AY30" s="3">
        <f t="shared" si="13"/>
        <v>4.7653880732892145E-2</v>
      </c>
      <c r="AZ30">
        <f t="shared" si="14"/>
        <v>1.4809214385951702E-2</v>
      </c>
      <c r="BA30" s="11">
        <f t="shared" si="34"/>
        <v>4.0249273539916294E-2</v>
      </c>
    </row>
    <row r="31" spans="1:53" x14ac:dyDescent="0.2">
      <c r="A31" t="s">
        <v>19</v>
      </c>
      <c r="B31" s="4">
        <f>B26 * B$28 / C16</f>
        <v>0.15432098765432101</v>
      </c>
      <c r="H31" s="10">
        <f t="shared" si="35"/>
        <v>27</v>
      </c>
      <c r="I31">
        <f t="shared" si="15"/>
        <v>250</v>
      </c>
      <c r="J31">
        <f t="shared" si="16"/>
        <v>0</v>
      </c>
      <c r="K31">
        <f t="shared" si="17"/>
        <v>-100</v>
      </c>
      <c r="L31" s="9">
        <f t="shared" si="0"/>
        <v>0.58586204395259456</v>
      </c>
      <c r="M31" s="11">
        <f t="shared" si="1"/>
        <v>0.58586204395259456</v>
      </c>
      <c r="N31" s="10">
        <f>SUMPRODUCT(I32:I$54, L32:L$54) / L31</f>
        <v>1831.3703601236052</v>
      </c>
      <c r="O31" s="10">
        <f>SUMPRODUCT(J32:J$54, M32:M$54) / M31</f>
        <v>1.0966722674624497E-3</v>
      </c>
      <c r="P31" s="10">
        <f>SUMPRODUCT(K32:K$54, M32:M$54) / M31</f>
        <v>-1829.2204115118916</v>
      </c>
      <c r="Q31" s="10" cm="1">
        <f t="array" ref="Q31">IF($H31 &gt;= $B$12 - 1, 0, SUMPRODUCT(I32:I$54*L32:L$54, $H32:$H$54 - $H31) / L31 /N31) / (1 + $B$10)</f>
        <v>4.3098826926420921</v>
      </c>
      <c r="R31" s="10" cm="1">
        <f t="array" ref="R31">SUMPRODUCT(J32:J$54*L32:L$54, $H32:$H$54 - $H31) / L31 /O31 / (1 + $B$10)</f>
        <v>15.32440765913422</v>
      </c>
      <c r="S31" s="10" cm="1">
        <f t="array" ref="S31">SUMPRODUCT(K32:K$54*M32:M$54, $H32:$H$54 - $H31) / M31 /P31 / (1 + $B$10)</f>
        <v>10.913419365426567</v>
      </c>
      <c r="T31" s="10">
        <f t="shared" si="36"/>
        <v>0</v>
      </c>
      <c r="U31" s="10">
        <f t="shared" si="37"/>
        <v>150</v>
      </c>
      <c r="V31" s="10">
        <f t="shared" si="18"/>
        <v>2.1510452839811478</v>
      </c>
      <c r="W31">
        <f t="shared" si="42"/>
        <v>7648.3447828645685</v>
      </c>
      <c r="X31" s="10">
        <f t="shared" si="19"/>
        <v>7650.4958281485497</v>
      </c>
      <c r="Y31" s="10">
        <f t="shared" si="2"/>
        <v>1831.3703601236052</v>
      </c>
      <c r="Z31">
        <f t="shared" si="3"/>
        <v>0</v>
      </c>
      <c r="AA31" s="10">
        <f t="shared" si="4"/>
        <v>426.64818480618607</v>
      </c>
      <c r="AB31" s="10">
        <f t="shared" si="5"/>
        <v>1404.7221753174192</v>
      </c>
      <c r="AC31" s="10">
        <f t="shared" si="6"/>
        <v>9.0842448081414351E-4</v>
      </c>
      <c r="AD31" s="10">
        <f t="shared" si="7"/>
        <v>1.8824778664830618E-4</v>
      </c>
      <c r="AE31">
        <f t="shared" si="20"/>
        <v>-1079.0837547366179</v>
      </c>
      <c r="AF31" s="10">
        <f t="shared" si="8"/>
        <v>-750.13665677527365</v>
      </c>
      <c r="AG31" s="10">
        <f t="shared" si="21"/>
        <v>-652.434661505951</v>
      </c>
      <c r="AH31" s="10">
        <f t="shared" si="22"/>
        <v>654.58570678993226</v>
      </c>
      <c r="AI31">
        <f t="shared" si="9"/>
        <v>4722.5282889805867</v>
      </c>
      <c r="AJ31">
        <f t="shared" si="10"/>
        <v>1180.6320722451467</v>
      </c>
      <c r="AK31" s="10">
        <f t="shared" si="11"/>
        <v>1747.3354669228163</v>
      </c>
      <c r="AL31" s="4">
        <f t="shared" si="23"/>
        <v>0.61728395061728403</v>
      </c>
      <c r="AM31">
        <f t="shared" si="12"/>
        <v>4722.5282889805867</v>
      </c>
      <c r="AN31" s="10">
        <f t="shared" si="24"/>
        <v>1833.0667337510977</v>
      </c>
      <c r="AO31" s="10">
        <f t="shared" si="24"/>
        <v>1092.7497601328841</v>
      </c>
      <c r="AP31" s="10">
        <f t="shared" si="25"/>
        <v>2925.8164938839818</v>
      </c>
      <c r="AQ31" s="9">
        <f t="shared" si="26"/>
        <v>0.62651459433046208</v>
      </c>
      <c r="AR31" s="9">
        <f t="shared" si="27"/>
        <v>0.37348540566953797</v>
      </c>
      <c r="AS31">
        <f t="shared" si="39"/>
        <v>4722.5282889805867</v>
      </c>
      <c r="AT31">
        <f t="shared" si="40"/>
        <v>1833.0667337510977</v>
      </c>
      <c r="AU31">
        <f t="shared" si="41"/>
        <v>1092.7497601328841</v>
      </c>
      <c r="AV31">
        <f t="shared" si="31"/>
        <v>0.61745755755689624</v>
      </c>
      <c r="AW31">
        <f t="shared" si="32"/>
        <v>0.23966842314142525</v>
      </c>
      <c r="AX31">
        <f t="shared" si="33"/>
        <v>0.14287401930167845</v>
      </c>
      <c r="AY31" s="3">
        <f t="shared" si="13"/>
        <v>4.7094986533690097E-2</v>
      </c>
      <c r="AZ31">
        <f t="shared" si="14"/>
        <v>1.4213711145301292E-2</v>
      </c>
      <c r="BA31" s="11">
        <f t="shared" si="34"/>
        <v>3.9988130961039453E-2</v>
      </c>
    </row>
    <row r="32" spans="1:53" x14ac:dyDescent="0.2">
      <c r="A32" t="s">
        <v>43</v>
      </c>
      <c r="B32" s="14">
        <f>SUMPRODUCT(B30:B31, B15:B16) + B10</f>
        <v>4.623456790123457E-2</v>
      </c>
      <c r="H32" s="10">
        <f t="shared" si="35"/>
        <v>28</v>
      </c>
      <c r="I32">
        <f t="shared" si="15"/>
        <v>250</v>
      </c>
      <c r="J32">
        <f t="shared" si="16"/>
        <v>0</v>
      </c>
      <c r="K32">
        <f t="shared" si="17"/>
        <v>-100</v>
      </c>
      <c r="L32" s="9">
        <f t="shared" si="0"/>
        <v>0.57437455289470041</v>
      </c>
      <c r="M32" s="11">
        <f t="shared" si="1"/>
        <v>0.57437455289470041</v>
      </c>
      <c r="N32" s="10">
        <f>SUMPRODUCT(I33:I$54, L33:L$54) / L32</f>
        <v>1617.997767326078</v>
      </c>
      <c r="O32" s="10">
        <f>SUMPRODUCT(J33:J$54, M33:M$54) / M32</f>
        <v>1.1186057128116989E-3</v>
      </c>
      <c r="P32" s="10">
        <f>SUMPRODUCT(K33:K$54, M33:M$54) / M32</f>
        <v>-1765.8048197421299</v>
      </c>
      <c r="Q32" s="10" cm="1">
        <f t="array" ref="Q32">IF($H32 &gt;= $B$12 - 1, 0, SUMPRODUCT(I33:I$54*L33:L$54, $H33:$H$54 - $H32) / L32 /N32) / (1 + $B$10)</f>
        <v>3.8439366312893708</v>
      </c>
      <c r="R32" s="10" cm="1">
        <f t="array" ref="R32">SUMPRODUCT(J33:J$54*L33:L$54, $H33:$H$54 - $H32) / L32 /O32 / (1 + $B$10)</f>
        <v>14.344015502271475</v>
      </c>
      <c r="S32" s="10" cm="1">
        <f t="array" ref="S32">SUMPRODUCT(K33:K$54*M33:M$54, $H33:$H$54 - $H32) / M32 /P32 / (1 + $B$10)</f>
        <v>10.495548450861394</v>
      </c>
      <c r="T32" s="10">
        <f t="shared" si="36"/>
        <v>0</v>
      </c>
      <c r="U32" s="10">
        <f t="shared" si="37"/>
        <v>150</v>
      </c>
      <c r="V32" s="10">
        <f t="shared" si="18"/>
        <v>-147.80593381033896</v>
      </c>
      <c r="W32">
        <f t="shared" si="42"/>
        <v>8104.1877956769404</v>
      </c>
      <c r="X32" s="10">
        <f t="shared" si="19"/>
        <v>7956.381861866601</v>
      </c>
      <c r="Y32" s="10">
        <f t="shared" si="2"/>
        <v>1617.997767326078</v>
      </c>
      <c r="Z32">
        <f t="shared" si="3"/>
        <v>0</v>
      </c>
      <c r="AA32" s="10">
        <f t="shared" si="4"/>
        <v>336.18815606319612</v>
      </c>
      <c r="AB32" s="10">
        <f t="shared" si="5"/>
        <v>1281.8096112628818</v>
      </c>
      <c r="AC32" s="10">
        <f t="shared" si="6"/>
        <v>8.6731338840542933E-4</v>
      </c>
      <c r="AD32" s="10">
        <f t="shared" si="7"/>
        <v>2.5129232440626961E-4</v>
      </c>
      <c r="AE32">
        <f t="shared" si="20"/>
        <v>-1001.7886508307078</v>
      </c>
      <c r="AF32" s="10">
        <f t="shared" si="8"/>
        <v>-764.01616891142214</v>
      </c>
      <c r="AG32" s="10">
        <f t="shared" si="21"/>
        <v>-665.59962745412327</v>
      </c>
      <c r="AH32" s="10">
        <f t="shared" si="22"/>
        <v>517.79369364378408</v>
      </c>
      <c r="AI32">
        <f t="shared" si="9"/>
        <v>4911.3468283127177</v>
      </c>
      <c r="AJ32">
        <f t="shared" si="10"/>
        <v>1227.8367070781794</v>
      </c>
      <c r="AK32" s="10">
        <f t="shared" si="11"/>
        <v>1817.1983264757039</v>
      </c>
      <c r="AL32" s="4">
        <f t="shared" si="23"/>
        <v>0.61728395061728403</v>
      </c>
      <c r="AM32">
        <f t="shared" si="12"/>
        <v>4911.3468283127177</v>
      </c>
      <c r="AN32" s="10">
        <f t="shared" si="24"/>
        <v>1893.4363345323027</v>
      </c>
      <c r="AO32" s="10">
        <f t="shared" si="24"/>
        <v>1299.4046328319198</v>
      </c>
      <c r="AP32" s="10">
        <f t="shared" si="25"/>
        <v>3192.8409673642227</v>
      </c>
      <c r="AQ32" s="9">
        <f t="shared" si="26"/>
        <v>0.59302556998176648</v>
      </c>
      <c r="AR32" s="9">
        <f t="shared" si="27"/>
        <v>0.40697443001823352</v>
      </c>
      <c r="AS32">
        <f t="shared" si="39"/>
        <v>4911.3468283127177</v>
      </c>
      <c r="AT32">
        <f t="shared" si="40"/>
        <v>1893.4363345323029</v>
      </c>
      <c r="AU32">
        <f t="shared" si="41"/>
        <v>1299.4046328319198</v>
      </c>
      <c r="AV32">
        <f t="shared" si="31"/>
        <v>0.60602579211362839</v>
      </c>
      <c r="AW32">
        <f t="shared" si="32"/>
        <v>0.2336367791899305</v>
      </c>
      <c r="AX32">
        <f t="shared" si="33"/>
        <v>0.16033742869644113</v>
      </c>
      <c r="AY32" s="3">
        <f t="shared" si="13"/>
        <v>4.6577399476444445E-2</v>
      </c>
      <c r="AZ32">
        <f t="shared" si="14"/>
        <v>1.3668050331629121E-2</v>
      </c>
      <c r="BA32" s="11">
        <f t="shared" si="34"/>
        <v>3.9743374310629881E-2</v>
      </c>
    </row>
    <row r="33" spans="1:53" x14ac:dyDescent="0.2">
      <c r="A33" t="s">
        <v>44</v>
      </c>
      <c r="B33" s="11">
        <f>SQRT(B30^2 * C15^2 + B31^2 * C16^2 + 2 * B30 * B31 * D15 * C15 * C16)</f>
        <v>0.11453071182271281</v>
      </c>
      <c r="H33" s="10">
        <f t="shared" si="35"/>
        <v>29</v>
      </c>
      <c r="I33">
        <f t="shared" si="15"/>
        <v>250</v>
      </c>
      <c r="J33">
        <f t="shared" si="16"/>
        <v>0</v>
      </c>
      <c r="K33">
        <f t="shared" si="17"/>
        <v>-100</v>
      </c>
      <c r="L33" s="9">
        <f t="shared" si="0"/>
        <v>0.56311230675951029</v>
      </c>
      <c r="M33" s="11">
        <f t="shared" si="1"/>
        <v>0.56311230675951029</v>
      </c>
      <c r="N33" s="10">
        <f>SUMPRODUCT(I34:I$54, L34:L$54) / L33</f>
        <v>1400.3577226725993</v>
      </c>
      <c r="O33" s="10">
        <f>SUMPRODUCT(J34:J$54, M34:M$54) / M33</f>
        <v>1.1409778270679326E-3</v>
      </c>
      <c r="P33" s="10">
        <f>SUMPRODUCT(K34:K$54, M34:M$54) / M33</f>
        <v>-1701.1209161369723</v>
      </c>
      <c r="Q33" s="10" cm="1">
        <f t="array" ref="Q33">IF($H33 &gt;= $B$12 - 1, 0, SUMPRODUCT(I34:I$54*L34:L$54, $H34:$H$54 - $H33) / L33 /N33) / (1 + $B$10)</f>
        <v>3.3747610778816193</v>
      </c>
      <c r="R33" s="10" cm="1">
        <f t="array" ref="R33">SUMPRODUCT(J34:J$54*L34:L$54, $H34:$H$54 - $H33) / L33 /O33 / (1 + $B$10)</f>
        <v>13.363623345408733</v>
      </c>
      <c r="S33" s="10" cm="1">
        <f t="array" ref="S33">SUMPRODUCT(K34:K$54*M34:M$54, $H34:$H$54 - $H33) / M33 /P33 / (1 + $B$10)</f>
        <v>10.074502558202276</v>
      </c>
      <c r="T33" s="10">
        <f t="shared" si="36"/>
        <v>0</v>
      </c>
      <c r="U33" s="10">
        <f t="shared" si="37"/>
        <v>150</v>
      </c>
      <c r="V33" s="10">
        <f t="shared" si="18"/>
        <v>-300.76205248654583</v>
      </c>
      <c r="W33">
        <f t="shared" si="42"/>
        <v>8576.2755647241684</v>
      </c>
      <c r="X33" s="10">
        <f>V33 + W33</f>
        <v>8275.5135122376232</v>
      </c>
      <c r="Y33" s="10">
        <f t="shared" si="2"/>
        <v>1400.3577226725993</v>
      </c>
      <c r="Z33">
        <f t="shared" si="3"/>
        <v>0</v>
      </c>
      <c r="AA33" s="10">
        <f t="shared" si="4"/>
        <v>255.45258041007733</v>
      </c>
      <c r="AB33" s="10">
        <f t="shared" si="5"/>
        <v>1144.9051422625218</v>
      </c>
      <c r="AC33" s="10">
        <f t="shared" si="6"/>
        <v>8.2419448250804067E-4</v>
      </c>
      <c r="AD33" s="10">
        <f t="shared" si="7"/>
        <v>3.1678334455989196E-4</v>
      </c>
      <c r="AE33">
        <f t="shared" si="20"/>
        <v>-926.37551467207174</v>
      </c>
      <c r="AF33" s="10">
        <f t="shared" si="8"/>
        <v>-774.74540146490051</v>
      </c>
      <c r="AG33" s="10">
        <f t="shared" si="21"/>
        <v>-670.92211006751188</v>
      </c>
      <c r="AH33" s="10">
        <f t="shared" si="22"/>
        <v>370.16005758096594</v>
      </c>
      <c r="AI33">
        <f t="shared" si="9"/>
        <v>5108.3416742207555</v>
      </c>
      <c r="AJ33">
        <f t="shared" si="10"/>
        <v>1277.0854185551889</v>
      </c>
      <c r="AK33" s="10">
        <f t="shared" si="11"/>
        <v>1890.0864194616788</v>
      </c>
      <c r="AL33" s="4">
        <f t="shared" si="23"/>
        <v>0.61728395061728403</v>
      </c>
      <c r="AM33">
        <f t="shared" si="12"/>
        <v>5108.3416742207555</v>
      </c>
      <c r="AN33" s="10">
        <f t="shared" si="24"/>
        <v>1948.0075286227006</v>
      </c>
      <c r="AO33" s="10">
        <f t="shared" si="24"/>
        <v>1519.9263618807129</v>
      </c>
      <c r="AP33" s="10">
        <f t="shared" si="25"/>
        <v>3467.9338905034137</v>
      </c>
      <c r="AQ33" s="9">
        <f t="shared" si="26"/>
        <v>0.56171991454540759</v>
      </c>
      <c r="AR33" s="9">
        <f t="shared" si="27"/>
        <v>0.43828008545459229</v>
      </c>
      <c r="AS33">
        <f t="shared" si="39"/>
        <v>5108.3416742207555</v>
      </c>
      <c r="AT33">
        <f t="shared" si="40"/>
        <v>1948.0075286227004</v>
      </c>
      <c r="AU33">
        <f t="shared" si="41"/>
        <v>1519.9263618807124</v>
      </c>
      <c r="AV33">
        <f t="shared" si="31"/>
        <v>0.59563637334979347</v>
      </c>
      <c r="AW33">
        <f t="shared" si="32"/>
        <v>0.22713910180722516</v>
      </c>
      <c r="AX33">
        <f t="shared" si="33"/>
        <v>0.17722452484298137</v>
      </c>
      <c r="AY33" s="3">
        <f t="shared" si="13"/>
        <v>4.6096845952063994E-2</v>
      </c>
      <c r="AZ33">
        <f t="shared" si="14"/>
        <v>1.3166545490797635E-2</v>
      </c>
      <c r="BA33" s="11">
        <f t="shared" si="34"/>
        <v>3.9513573206665174E-2</v>
      </c>
    </row>
    <row r="34" spans="1:53" x14ac:dyDescent="0.2">
      <c r="A34" t="s">
        <v>45</v>
      </c>
      <c r="B34" s="14">
        <f>B32 - 1/2 * B33 ^ 2</f>
        <v>3.9675925925925927E-2</v>
      </c>
      <c r="H34" s="10">
        <f t="shared" si="35"/>
        <v>30</v>
      </c>
      <c r="I34">
        <f t="shared" si="15"/>
        <v>250</v>
      </c>
      <c r="J34">
        <f t="shared" si="16"/>
        <v>0</v>
      </c>
      <c r="K34">
        <f t="shared" si="17"/>
        <v>-100</v>
      </c>
      <c r="L34" s="9">
        <f t="shared" si="0"/>
        <v>0.55207088897991197</v>
      </c>
      <c r="M34" s="11">
        <f t="shared" si="1"/>
        <v>0.55207088897991197</v>
      </c>
      <c r="N34" s="10">
        <f>SUMPRODUCT(I35:I$54, L35:L$54) / L34</f>
        <v>1178.3648771260514</v>
      </c>
      <c r="O34" s="10">
        <f>SUMPRODUCT(J35:J$54, M35:M$54) / M34</f>
        <v>1.1637973836092915E-3</v>
      </c>
      <c r="P34" s="10">
        <f>SUMPRODUCT(K35:K$54, M35:M$54) / M34</f>
        <v>-1635.1433344597119</v>
      </c>
      <c r="Q34" s="10" cm="1">
        <f t="array" ref="Q34">IF($H34 &gt;= $B$12 - 1, 0, SUMPRODUCT(I35:I$54*L35:L$54, $H35:$H$54 - $H34) / L34 /N34) / (1 + $B$10)</f>
        <v>2.9023543861955372</v>
      </c>
      <c r="R34" s="10" cm="1">
        <f t="array" ref="R34">SUMPRODUCT(J35:J$54*L35:L$54, $H35:$H$54 - $H34) / L34 /O34 / (1 + $B$10)</f>
        <v>12.38323118854599</v>
      </c>
      <c r="S34" s="10" cm="1">
        <f t="array" ref="S34">SUMPRODUCT(K35:K$54*M35:M$54, $H35:$H$54 - $H34) / M34 /P34 / (1 + $B$10)</f>
        <v>9.6502763477545255</v>
      </c>
      <c r="T34" s="10">
        <f t="shared" si="36"/>
        <v>0</v>
      </c>
      <c r="U34" s="10">
        <f t="shared" si="37"/>
        <v>150</v>
      </c>
      <c r="V34" s="10">
        <f t="shared" si="18"/>
        <v>-456.77729353627683</v>
      </c>
      <c r="W34">
        <f t="shared" si="42"/>
        <v>9065.154857091431</v>
      </c>
      <c r="X34" s="10">
        <f t="shared" ref="X34:X35" si="43">V34 + W34</f>
        <v>8608.3775635551538</v>
      </c>
      <c r="Y34" s="10">
        <f t="shared" si="2"/>
        <v>1178.3648771260514</v>
      </c>
      <c r="Z34">
        <f t="shared" si="3"/>
        <v>0</v>
      </c>
      <c r="AA34" s="10">
        <f t="shared" si="4"/>
        <v>184.86661998192218</v>
      </c>
      <c r="AB34" s="10">
        <f t="shared" si="5"/>
        <v>993.49825714412918</v>
      </c>
      <c r="AC34" s="10">
        <f t="shared" si="6"/>
        <v>7.7900389501939465E-4</v>
      </c>
      <c r="AD34" s="10">
        <f t="shared" si="7"/>
        <v>3.8479348858989687E-4</v>
      </c>
      <c r="AE34">
        <f t="shared" si="20"/>
        <v>-852.95054301216362</v>
      </c>
      <c r="AF34" s="10">
        <f t="shared" si="8"/>
        <v>-782.1927914475483</v>
      </c>
      <c r="AG34" s="10">
        <f t="shared" si="21"/>
        <v>-668.08314402634642</v>
      </c>
      <c r="AH34" s="10">
        <f t="shared" si="22"/>
        <v>211.30585049006947</v>
      </c>
      <c r="AI34">
        <f t="shared" si="9"/>
        <v>5313.8133108365155</v>
      </c>
      <c r="AJ34">
        <f t="shared" si="10"/>
        <v>1328.4533277091289</v>
      </c>
      <c r="AK34" s="10">
        <f t="shared" si="11"/>
        <v>1966.1109250095094</v>
      </c>
      <c r="AL34" s="4">
        <f t="shared" si="23"/>
        <v>0.61728395061728403</v>
      </c>
      <c r="AM34">
        <f t="shared" si="12"/>
        <v>5313.8133108365155</v>
      </c>
      <c r="AN34" s="10">
        <f t="shared" si="24"/>
        <v>1996.5364717354753</v>
      </c>
      <c r="AO34" s="10">
        <f t="shared" si="24"/>
        <v>1754.80507451944</v>
      </c>
      <c r="AP34" s="10">
        <f t="shared" si="25"/>
        <v>3751.3415462549156</v>
      </c>
      <c r="AQ34" s="9">
        <f t="shared" si="26"/>
        <v>0.53221932663760829</v>
      </c>
      <c r="AR34" s="9">
        <f t="shared" si="27"/>
        <v>0.46778067336239171</v>
      </c>
      <c r="AS34">
        <f t="shared" si="39"/>
        <v>5313.8133108365155</v>
      </c>
      <c r="AT34">
        <f t="shared" si="40"/>
        <v>1996.5364717354755</v>
      </c>
      <c r="AU34">
        <f t="shared" si="41"/>
        <v>1754.80507451944</v>
      </c>
      <c r="AV34">
        <f t="shared" si="31"/>
        <v>0.5861800922992132</v>
      </c>
      <c r="AW34">
        <f t="shared" si="32"/>
        <v>0.22024295262575</v>
      </c>
      <c r="AX34">
        <f t="shared" si="33"/>
        <v>0.19357695507503686</v>
      </c>
      <c r="AY34" s="3">
        <f t="shared" si="13"/>
        <v>4.5649633218226029E-2</v>
      </c>
      <c r="AZ34">
        <f t="shared" si="14"/>
        <v>1.2704495504770806E-2</v>
      </c>
      <c r="BA34" s="11">
        <f t="shared" si="34"/>
        <v>3.9297385465840627E-2</v>
      </c>
    </row>
    <row r="35" spans="1:53" x14ac:dyDescent="0.2">
      <c r="A35" t="s">
        <v>78</v>
      </c>
      <c r="B35" s="4">
        <f>(B32 - B10)/B33</f>
        <v>0.22906142364542556</v>
      </c>
      <c r="H35" s="10">
        <f t="shared" si="35"/>
        <v>31</v>
      </c>
      <c r="I35">
        <f t="shared" si="15"/>
        <v>250</v>
      </c>
      <c r="J35">
        <f t="shared" si="16"/>
        <v>0</v>
      </c>
      <c r="K35">
        <f t="shared" si="17"/>
        <v>-100</v>
      </c>
      <c r="L35" s="9">
        <f t="shared" si="0"/>
        <v>0.54124596958814919</v>
      </c>
      <c r="M35" s="11">
        <f t="shared" si="1"/>
        <v>0.54124596958814919</v>
      </c>
      <c r="N35" s="10">
        <f>SUMPRODUCT(I36:I$54, L36:L$54) / L35</f>
        <v>951.93217466857209</v>
      </c>
      <c r="O35" s="10">
        <f>SUMPRODUCT(J36:J$54, M36:M$54) / M35</f>
        <v>1.1870733312814769E-3</v>
      </c>
      <c r="P35" s="10">
        <f>SUMPRODUCT(K36:K$54, M36:M$54) / M35</f>
        <v>-1567.8462011489057</v>
      </c>
      <c r="Q35" s="10" cm="1">
        <f t="array" ref="Q35">IF($H35 &gt;= $B$12 - 1, 0, SUMPRODUCT(I36:I$54*L36:L$54, $H36:$H$54 - $H35) / L35 /N35) / (1 + $B$10)</f>
        <v>2.4267151624926435</v>
      </c>
      <c r="R35" s="10" cm="1">
        <f t="array" ref="R35">SUMPRODUCT(J36:J$54*L36:L$54, $H36:$H$54 - $H35) / L35 /O35 / (1 + $B$10)</f>
        <v>11.402839031683245</v>
      </c>
      <c r="S35" s="10" cm="1">
        <f t="array" ref="S35">SUMPRODUCT(K36:K$54*M36:M$54, $H36:$H$54 - $H35) / M35 /P35 / (1 + $B$10)</f>
        <v>9.2228647182252992</v>
      </c>
      <c r="T35" s="10">
        <f t="shared" si="36"/>
        <v>0</v>
      </c>
      <c r="U35" s="10">
        <f t="shared" si="37"/>
        <v>150</v>
      </c>
      <c r="V35" s="10">
        <f t="shared" si="18"/>
        <v>-615.91283940700237</v>
      </c>
      <c r="W35">
        <f t="shared" si="42"/>
        <v>9571.3917418180918</v>
      </c>
      <c r="X35" s="10">
        <f t="shared" si="43"/>
        <v>8955.4789024110887</v>
      </c>
      <c r="Y35" s="10">
        <f t="shared" si="2"/>
        <v>951.93217466857209</v>
      </c>
      <c r="Z35">
        <f t="shared" si="3"/>
        <v>0</v>
      </c>
      <c r="AA35" s="10">
        <f t="shared" si="4"/>
        <v>124.86855361799026</v>
      </c>
      <c r="AB35" s="10">
        <f t="shared" si="5"/>
        <v>827.06362105058179</v>
      </c>
      <c r="AC35" s="10">
        <f t="shared" si="6"/>
        <v>7.3167600623819898E-4</v>
      </c>
      <c r="AD35" s="10">
        <f t="shared" si="7"/>
        <v>4.5539732504327796E-4</v>
      </c>
      <c r="AE35">
        <f t="shared" si="20"/>
        <v>-781.62342768539497</v>
      </c>
      <c r="AF35" s="10">
        <f t="shared" si="8"/>
        <v>-786.22277346351075</v>
      </c>
      <c r="AG35" s="10">
        <f t="shared" si="21"/>
        <v>-656.75414239139843</v>
      </c>
      <c r="AH35" s="10">
        <f t="shared" si="22"/>
        <v>40.841302984396066</v>
      </c>
      <c r="AI35">
        <f t="shared" si="9"/>
        <v>5528.0733965500558</v>
      </c>
      <c r="AJ35">
        <f t="shared" si="10"/>
        <v>1382.018349137514</v>
      </c>
      <c r="AK35" s="10">
        <f t="shared" si="11"/>
        <v>2045.387156723519</v>
      </c>
      <c r="AL35" s="4">
        <f t="shared" si="23"/>
        <v>0.61728395061728403</v>
      </c>
      <c r="AM35">
        <f t="shared" si="12"/>
        <v>5528.0733965500558</v>
      </c>
      <c r="AN35" s="10">
        <f t="shared" si="24"/>
        <v>2038.7724915289123</v>
      </c>
      <c r="AO35" s="10">
        <f t="shared" si="24"/>
        <v>2004.5458537391228</v>
      </c>
      <c r="AP35" s="10">
        <f t="shared" si="25"/>
        <v>4043.318345268035</v>
      </c>
      <c r="AQ35" s="9">
        <f t="shared" si="26"/>
        <v>0.50423249356927902</v>
      </c>
      <c r="AR35" s="9">
        <f t="shared" si="27"/>
        <v>0.49576750643072098</v>
      </c>
      <c r="AS35">
        <f t="shared" si="39"/>
        <v>5528.0733965500558</v>
      </c>
      <c r="AT35">
        <f t="shared" si="40"/>
        <v>2038.7724915289123</v>
      </c>
      <c r="AU35">
        <f t="shared" si="41"/>
        <v>2004.5458537391237</v>
      </c>
      <c r="AV35">
        <f t="shared" si="31"/>
        <v>0.57756212948609231</v>
      </c>
      <c r="AW35">
        <f t="shared" si="32"/>
        <v>0.21300690082732379</v>
      </c>
      <c r="AX35">
        <f t="shared" si="33"/>
        <v>0.20943096968658384</v>
      </c>
      <c r="AY35" s="3">
        <f t="shared" si="13"/>
        <v>4.5232554187716933E-2</v>
      </c>
      <c r="AZ35">
        <f t="shared" si="14"/>
        <v>1.2277978484216901E-2</v>
      </c>
      <c r="BA35" s="11">
        <f t="shared" si="34"/>
        <v>3.9093564945608485E-2</v>
      </c>
    </row>
    <row r="36" spans="1:53" x14ac:dyDescent="0.2">
      <c r="H36" s="10">
        <f t="shared" si="35"/>
        <v>32</v>
      </c>
      <c r="I36">
        <f t="shared" si="15"/>
        <v>250</v>
      </c>
      <c r="J36">
        <f t="shared" si="16"/>
        <v>0</v>
      </c>
      <c r="K36">
        <f t="shared" si="17"/>
        <v>-100</v>
      </c>
      <c r="L36" s="9">
        <f t="shared" si="0"/>
        <v>0.53063330351779314</v>
      </c>
      <c r="M36" s="11">
        <f t="shared" si="1"/>
        <v>0.53063330351779314</v>
      </c>
      <c r="N36" s="10">
        <f>SUMPRODUCT(I37:I$54, L37:L$54) / L36</f>
        <v>720.97081816194384</v>
      </c>
      <c r="O36" s="10">
        <f>SUMPRODUCT(J37:J$54, M37:M$54) / M36</f>
        <v>1.2108147979071069E-3</v>
      </c>
      <c r="P36" s="10">
        <f>SUMPRODUCT(K37:K$54, M37:M$54) / M36</f>
        <v>-1499.2031251718843</v>
      </c>
      <c r="Q36" s="10" cm="1">
        <f t="array" ref="Q36">IF($H36 &gt;= $B$12 - 1, 0, SUMPRODUCT(I37:I$54*L37:L$54, $H37:$H$54 - $H36) / L36 /N36) / (1 + $B$10)</f>
        <v>1.9478422659091084</v>
      </c>
      <c r="R36" s="10" cm="1">
        <f t="array" ref="R36">SUMPRODUCT(J37:J$54*L37:L$54, $H37:$H$54 - $H36) / L36 /O36 / (1 + $B$10)</f>
        <v>10.422446874820498</v>
      </c>
      <c r="S36" s="10" cm="1">
        <f t="array" ref="S36">SUMPRODUCT(K37:K$54*M37:M$54, $H37:$H$54 - $H36) / M36 /P36 / (1 + $B$10)</f>
        <v>8.7922628081256509</v>
      </c>
      <c r="T36" s="10">
        <f t="shared" si="36"/>
        <v>0</v>
      </c>
      <c r="U36" s="10">
        <f t="shared" si="37"/>
        <v>150</v>
      </c>
      <c r="V36" s="10">
        <f t="shared" si="18"/>
        <v>-778.23109619514253</v>
      </c>
      <c r="W36">
        <f t="shared" si="42"/>
        <v>10095.571566496719</v>
      </c>
      <c r="X36" s="10">
        <f>V36 + W36</f>
        <v>9317.3404703015767</v>
      </c>
      <c r="Y36" s="10">
        <f t="shared" si="2"/>
        <v>720.97081816194384</v>
      </c>
      <c r="Z36">
        <f t="shared" si="3"/>
        <v>0</v>
      </c>
      <c r="AA36" s="10">
        <f t="shared" si="4"/>
        <v>75.910131465021863</v>
      </c>
      <c r="AB36" s="10">
        <f t="shared" si="5"/>
        <v>645.06068669692195</v>
      </c>
      <c r="AC36" s="10">
        <f t="shared" si="6"/>
        <v>6.8214340034774808E-4</v>
      </c>
      <c r="AD36" s="10">
        <f t="shared" si="7"/>
        <v>5.2867139755935879E-4</v>
      </c>
      <c r="AE36">
        <f t="shared" si="20"/>
        <v>-712.50745293375689</v>
      </c>
      <c r="AF36" s="10">
        <f t="shared" si="8"/>
        <v>-786.69567223812737</v>
      </c>
      <c r="AG36" s="10">
        <f t="shared" si="21"/>
        <v>-636.59663932533465</v>
      </c>
      <c r="AH36" s="10">
        <f t="shared" si="22"/>
        <v>-141.63445686980788</v>
      </c>
      <c r="AI36">
        <f t="shared" si="9"/>
        <v>5751.4447347540608</v>
      </c>
      <c r="AJ36">
        <f t="shared" si="10"/>
        <v>1437.8611836885152</v>
      </c>
      <c r="AK36" s="10">
        <f t="shared" si="11"/>
        <v>2128.0345518590007</v>
      </c>
      <c r="AL36" s="4">
        <f t="shared" si="23"/>
        <v>0.61728395061728403</v>
      </c>
      <c r="AM36">
        <f t="shared" si="12"/>
        <v>5751.4447347540608</v>
      </c>
      <c r="AN36" s="10">
        <f t="shared" si="24"/>
        <v>2074.45782301385</v>
      </c>
      <c r="AO36" s="10">
        <f t="shared" si="24"/>
        <v>2269.6690087288084</v>
      </c>
      <c r="AP36" s="10">
        <f t="shared" si="25"/>
        <v>4344.1268317426584</v>
      </c>
      <c r="AQ36" s="9">
        <f t="shared" si="26"/>
        <v>0.47753159688058083</v>
      </c>
      <c r="AR36" s="9">
        <f t="shared" si="27"/>
        <v>0.52246840311941911</v>
      </c>
      <c r="AS36">
        <f t="shared" si="39"/>
        <v>5751.4447347540608</v>
      </c>
      <c r="AT36">
        <f t="shared" si="40"/>
        <v>2074.45782301385</v>
      </c>
      <c r="AU36">
        <f t="shared" si="41"/>
        <v>2269.6690087288084</v>
      </c>
      <c r="AV36">
        <f t="shared" si="31"/>
        <v>0.56969976359148122</v>
      </c>
      <c r="AW36">
        <f t="shared" si="32"/>
        <v>0.2054819590302514</v>
      </c>
      <c r="AX36">
        <f t="shared" si="33"/>
        <v>0.22481827737826734</v>
      </c>
      <c r="AY36" s="3">
        <f t="shared" si="13"/>
        <v>4.4842810133961769E-2</v>
      </c>
      <c r="AZ36">
        <f t="shared" si="14"/>
        <v>1.1883693258388424E-2</v>
      </c>
      <c r="BA36" s="11">
        <f t="shared" si="34"/>
        <v>3.8900963504767558E-2</v>
      </c>
    </row>
    <row r="37" spans="1:53" x14ac:dyDescent="0.2">
      <c r="H37" s="10">
        <f t="shared" si="35"/>
        <v>33</v>
      </c>
      <c r="I37">
        <f t="shared" si="15"/>
        <v>250</v>
      </c>
      <c r="J37">
        <f t="shared" si="16"/>
        <v>0</v>
      </c>
      <c r="K37">
        <f t="shared" si="17"/>
        <v>-100</v>
      </c>
      <c r="L37" s="9">
        <f t="shared" si="0"/>
        <v>0.52022872893901284</v>
      </c>
      <c r="M37" s="11">
        <f t="shared" si="1"/>
        <v>0.52022872893901284</v>
      </c>
      <c r="N37" s="10">
        <f>SUMPRODUCT(I38:I$54, L38:L$54) / L37</f>
        <v>485.39023452518268</v>
      </c>
      <c r="O37" s="10">
        <f>SUMPRODUCT(J38:J$54, M38:M$54) / M37</f>
        <v>1.2350310938652491E-3</v>
      </c>
      <c r="P37" s="10">
        <f>SUMPRODUCT(K38:K$54, M38:M$54) / M37</f>
        <v>-1429.1871876753221</v>
      </c>
      <c r="Q37" s="10" cm="1">
        <f t="array" ref="Q37">IF($H37 &gt;= $B$12 - 1, 0, SUMPRODUCT(I38:I$54*L38:L$54, $H38:$H$54 - $H37) / L37 /N37) / (1 + $B$10)</f>
        <v>1.4657348087749953</v>
      </c>
      <c r="R37" s="10" cm="1">
        <f t="array" ref="R37">SUMPRODUCT(J38:J$54*L38:L$54, $H38:$H$54 - $H37) / L37 /O37 / (1 + $B$10)</f>
        <v>9.4420547179577561</v>
      </c>
      <c r="S37" s="10" cm="1">
        <f t="array" ref="S37">SUMPRODUCT(K38:K$54*M38:M$54, $H38:$H$54 - $H37) / M37 /P37 / (1 + $B$10)</f>
        <v>8.3584659971090645</v>
      </c>
      <c r="T37" s="10">
        <f t="shared" si="36"/>
        <v>0</v>
      </c>
      <c r="U37" s="10">
        <f t="shared" si="37"/>
        <v>150</v>
      </c>
      <c r="V37" s="10">
        <f t="shared" si="18"/>
        <v>-943.79571811904555</v>
      </c>
      <c r="W37">
        <f t="shared" si="42"/>
        <v>10638.299027564775</v>
      </c>
      <c r="X37" s="10">
        <f t="shared" ref="X37:X50" si="44">V37 + W37</f>
        <v>9694.5033094457303</v>
      </c>
      <c r="Y37" s="10">
        <f t="shared" si="2"/>
        <v>485.39023452518268</v>
      </c>
      <c r="Z37">
        <f t="shared" si="3"/>
        <v>0</v>
      </c>
      <c r="AA37" s="10">
        <f t="shared" si="4"/>
        <v>38.45693851800101</v>
      </c>
      <c r="AB37" s="10">
        <f t="shared" si="5"/>
        <v>446.93329600718164</v>
      </c>
      <c r="AC37" s="10">
        <f t="shared" si="6"/>
        <v>6.3033681981918401E-4</v>
      </c>
      <c r="AD37" s="10">
        <f t="shared" si="7"/>
        <v>6.0469427404606505E-4</v>
      </c>
      <c r="AE37">
        <f t="shared" si="20"/>
        <v>-645.7195952263844</v>
      </c>
      <c r="AF37" s="10">
        <f t="shared" si="8"/>
        <v>-783.46759244893769</v>
      </c>
      <c r="AG37" s="10">
        <f t="shared" si="21"/>
        <v>-607.26202637156359</v>
      </c>
      <c r="AH37" s="10">
        <f t="shared" si="22"/>
        <v>-336.53369174748195</v>
      </c>
      <c r="AI37">
        <f t="shared" si="9"/>
        <v>5984.2613021269945</v>
      </c>
      <c r="AJ37">
        <f t="shared" si="10"/>
        <v>1496.0653255317486</v>
      </c>
      <c r="AK37" s="10">
        <f t="shared" si="11"/>
        <v>2214.1766817869875</v>
      </c>
      <c r="AL37" s="4">
        <f t="shared" si="23"/>
        <v>0.61728395061728403</v>
      </c>
      <c r="AM37">
        <f t="shared" si="12"/>
        <v>5984.2613021269945</v>
      </c>
      <c r="AN37" s="10">
        <f t="shared" si="24"/>
        <v>2103.3273519033123</v>
      </c>
      <c r="AO37" s="10">
        <f t="shared" si="24"/>
        <v>2550.7103735344695</v>
      </c>
      <c r="AP37" s="10">
        <f t="shared" si="25"/>
        <v>4654.0377254377818</v>
      </c>
      <c r="AQ37" s="9">
        <f t="shared" si="26"/>
        <v>0.45193603403923049</v>
      </c>
      <c r="AR37" s="9">
        <f t="shared" si="27"/>
        <v>0.54806396596076945</v>
      </c>
      <c r="AS37">
        <f t="shared" si="39"/>
        <v>5984.2613021269945</v>
      </c>
      <c r="AT37">
        <f t="shared" si="40"/>
        <v>2103.3273519033123</v>
      </c>
      <c r="AU37">
        <f t="shared" si="41"/>
        <v>2550.7103735344685</v>
      </c>
      <c r="AV37">
        <f t="shared" si="31"/>
        <v>0.56252050131522369</v>
      </c>
      <c r="AW37">
        <f t="shared" si="32"/>
        <v>0.19771274960906859</v>
      </c>
      <c r="AX37">
        <f t="shared" si="33"/>
        <v>0.23976674907570769</v>
      </c>
      <c r="AY37" s="3">
        <f t="shared" si="13"/>
        <v>4.4477947548699631E-2</v>
      </c>
      <c r="AZ37">
        <f t="shared" si="14"/>
        <v>1.1518836522556244E-2</v>
      </c>
      <c r="BA37" s="11">
        <f t="shared" si="34"/>
        <v>3.8718529287421512E-2</v>
      </c>
    </row>
    <row r="38" spans="1:53" x14ac:dyDescent="0.2">
      <c r="H38" s="10">
        <f t="shared" si="35"/>
        <v>34</v>
      </c>
      <c r="I38">
        <f t="shared" si="15"/>
        <v>250</v>
      </c>
      <c r="J38">
        <f t="shared" si="16"/>
        <v>0</v>
      </c>
      <c r="K38">
        <f t="shared" si="17"/>
        <v>-100</v>
      </c>
      <c r="L38" s="9">
        <f t="shared" si="0"/>
        <v>0.51002816562648323</v>
      </c>
      <c r="M38" s="11">
        <f t="shared" si="1"/>
        <v>0.51002816562648323</v>
      </c>
      <c r="N38" s="10">
        <f>SUMPRODUCT(I39:I$54, L39:L$54) / L38</f>
        <v>245.0980392156863</v>
      </c>
      <c r="O38" s="10">
        <f>SUMPRODUCT(J39:J$54, M39:M$54) / M38</f>
        <v>1.259731715742554E-3</v>
      </c>
      <c r="P38" s="10">
        <f>SUMPRODUCT(K39:K$54, M39:M$54) / M38</f>
        <v>-1357.7709314288284</v>
      </c>
      <c r="Q38" s="10" cm="1">
        <f t="array" ref="Q38">IF($H38 &gt;= $B$12 - 1, 0, SUMPRODUCT(I39:I$54*L39:L$54, $H39:$H$54 - $H38) / L38 /N38) / (1 + $B$10)</f>
        <v>0.98039215686274506</v>
      </c>
      <c r="R38" s="10" cm="1">
        <f t="array" ref="R38">SUMPRODUCT(J39:J$54*L39:L$54, $H39:$H$54 - $H38) / L38 /O38 / (1 + $B$10)</f>
        <v>8.4616625610950091</v>
      </c>
      <c r="S38" s="10" cm="1">
        <f t="array" ref="S38">SUMPRODUCT(K39:K$54*M39:M$54, $H39:$H$54 - $H38) / M38 /P38 / (1 + $B$10)</f>
        <v>7.9214699072457861</v>
      </c>
      <c r="T38" s="10">
        <f t="shared" si="36"/>
        <v>0</v>
      </c>
      <c r="U38" s="10">
        <f t="shared" si="37"/>
        <v>150</v>
      </c>
      <c r="V38" s="10">
        <f t="shared" si="18"/>
        <v>-1112.6716324814263</v>
      </c>
      <c r="W38">
        <f t="shared" si="42"/>
        <v>11200.19832003189</v>
      </c>
      <c r="X38" s="10">
        <f t="shared" si="44"/>
        <v>10087.526687550464</v>
      </c>
      <c r="Y38" s="10">
        <f t="shared" si="2"/>
        <v>245.0980392156863</v>
      </c>
      <c r="Z38">
        <f t="shared" si="3"/>
        <v>0</v>
      </c>
      <c r="AA38" s="10">
        <f t="shared" si="4"/>
        <v>12.98876731402683</v>
      </c>
      <c r="AB38" s="10">
        <f t="shared" si="5"/>
        <v>232.10927190165947</v>
      </c>
      <c r="AC38" s="10">
        <f t="shared" si="6"/>
        <v>5.7618511870933782E-4</v>
      </c>
      <c r="AD38" s="10">
        <f t="shared" si="7"/>
        <v>6.835465970332162E-4</v>
      </c>
      <c r="AE38">
        <f t="shared" si="20"/>
        <v>-581.38062563494839</v>
      </c>
      <c r="AF38" s="10">
        <f t="shared" si="8"/>
        <v>-776.39030579387997</v>
      </c>
      <c r="AG38" s="10">
        <f t="shared" si="21"/>
        <v>-568.39128213580284</v>
      </c>
      <c r="AH38" s="10">
        <f t="shared" si="22"/>
        <v>-544.28035034562345</v>
      </c>
      <c r="AI38">
        <f t="shared" si="9"/>
        <v>6226.8683256484355</v>
      </c>
      <c r="AJ38">
        <f t="shared" si="10"/>
        <v>1556.7170814121089</v>
      </c>
      <c r="AK38" s="10">
        <f t="shared" si="11"/>
        <v>2303.9412804899193</v>
      </c>
      <c r="AL38" s="4">
        <f t="shared" si="23"/>
        <v>0.61728395061728403</v>
      </c>
      <c r="AM38">
        <f t="shared" si="12"/>
        <v>6226.8683256484355</v>
      </c>
      <c r="AN38" s="10">
        <f t="shared" si="24"/>
        <v>2125.1083635479117</v>
      </c>
      <c r="AO38" s="10">
        <f t="shared" si="24"/>
        <v>2848.2216308355428</v>
      </c>
      <c r="AP38" s="10">
        <f t="shared" si="25"/>
        <v>4973.3299943834545</v>
      </c>
      <c r="AQ38" s="9">
        <f t="shared" si="26"/>
        <v>0.42730089616974276</v>
      </c>
      <c r="AR38" s="9">
        <f t="shared" si="27"/>
        <v>0.57269910383025724</v>
      </c>
      <c r="AS38">
        <f t="shared" si="39"/>
        <v>6226.8683256484355</v>
      </c>
      <c r="AT38">
        <f t="shared" si="40"/>
        <v>2125.1083635479117</v>
      </c>
      <c r="AU38">
        <f t="shared" si="41"/>
        <v>2848.2216308355428</v>
      </c>
      <c r="AV38">
        <f t="shared" si="31"/>
        <v>0.55596054174429177</v>
      </c>
      <c r="AW38">
        <f t="shared" si="32"/>
        <v>0.18973845844739123</v>
      </c>
      <c r="AX38">
        <f t="shared" si="33"/>
        <v>0.25430099980831705</v>
      </c>
      <c r="AY38" s="3">
        <f t="shared" si="13"/>
        <v>4.4135806254245583E-2</v>
      </c>
      <c r="AZ38">
        <f t="shared" si="14"/>
        <v>1.1181006933535402E-2</v>
      </c>
      <c r="BA38" s="11">
        <f t="shared" si="34"/>
        <v>3.8545302787477878E-2</v>
      </c>
    </row>
    <row r="39" spans="1:53" x14ac:dyDescent="0.2">
      <c r="H39" s="10">
        <f t="shared" si="35"/>
        <v>35</v>
      </c>
      <c r="I39">
        <f t="shared" si="15"/>
        <v>250</v>
      </c>
      <c r="J39">
        <f t="shared" si="16"/>
        <v>0</v>
      </c>
      <c r="K39">
        <f t="shared" si="17"/>
        <v>-100</v>
      </c>
      <c r="L39" s="9">
        <f t="shared" si="0"/>
        <v>0.50002761335929735</v>
      </c>
      <c r="M39" s="11">
        <f t="shared" si="1"/>
        <v>0.50002761335929735</v>
      </c>
      <c r="N39" s="10">
        <f>SUMPRODUCT(I40:I$54, L40:L$54) / L39</f>
        <v>0</v>
      </c>
      <c r="O39" s="10">
        <f>SUMPRODUCT(J40:J$54, M40:M$54) / M39</f>
        <v>1.284926350057405E-3</v>
      </c>
      <c r="P39" s="10">
        <f>SUMPRODUCT(K40:K$54, M40:M$54) / M39</f>
        <v>-1284.9263500574048</v>
      </c>
      <c r="Q39" s="10" cm="1">
        <f t="array" ref="Q39">IF($H39 &gt;= $B$12 - 1, 0, SUMPRODUCT(I40:I$54*L40:L$54, $H40:$H$54 - $H39) / L39 /N39) / (1 + $B$10)</f>
        <v>0</v>
      </c>
      <c r="R39" s="10" cm="1">
        <f t="array" ref="R39">SUMPRODUCT(J40:J$54*L40:L$54, $H40:$H$54 - $H39) / L39 /O39 / (1 + $B$10)</f>
        <v>7.481270404232264</v>
      </c>
      <c r="S39" s="10" cm="1">
        <f t="array" ref="S39">SUMPRODUCT(K40:K$54*M40:M$54, $H40:$H$54 - $H39) / M39 /P39 / (1 + $B$10)</f>
        <v>7.4812704042322649</v>
      </c>
      <c r="T39" s="10">
        <f t="shared" si="36"/>
        <v>0</v>
      </c>
      <c r="U39" s="10">
        <f t="shared" si="37"/>
        <v>150</v>
      </c>
      <c r="V39" s="10">
        <f t="shared" si="18"/>
        <v>-1284.9250651310547</v>
      </c>
      <c r="W39">
        <f>W38 * (1+BA38) + U39</f>
        <v>11781.913355557319</v>
      </c>
      <c r="X39" s="10">
        <f t="shared" si="44"/>
        <v>10496.988290426265</v>
      </c>
      <c r="Y39" s="10">
        <f t="shared" si="2"/>
        <v>0</v>
      </c>
      <c r="Z39">
        <f t="shared" si="3"/>
        <v>0</v>
      </c>
      <c r="AA39" s="10">
        <f t="shared" si="4"/>
        <v>0</v>
      </c>
      <c r="AB39" s="10">
        <f t="shared" si="5"/>
        <v>0</v>
      </c>
      <c r="AC39" s="10">
        <f t="shared" si="6"/>
        <v>5.1961521482717023E-4</v>
      </c>
      <c r="AD39" s="10">
        <f t="shared" si="7"/>
        <v>7.6531113523023474E-4</v>
      </c>
      <c r="AE39">
        <f t="shared" si="20"/>
        <v>-519.61521482717023</v>
      </c>
      <c r="AF39" s="10">
        <f t="shared" si="8"/>
        <v>-765.31113523023453</v>
      </c>
      <c r="AG39" s="10">
        <f t="shared" si="21"/>
        <v>-519.61469521195545</v>
      </c>
      <c r="AH39" s="10">
        <f t="shared" si="22"/>
        <v>-765.31036991909934</v>
      </c>
      <c r="AI39">
        <f t="shared" si="9"/>
        <v>6479.6224014976951</v>
      </c>
      <c r="AJ39">
        <f t="shared" si="10"/>
        <v>1619.9056003744238</v>
      </c>
      <c r="AK39" s="10">
        <f t="shared" si="11"/>
        <v>2397.4602885541462</v>
      </c>
      <c r="AL39" s="4">
        <f t="shared" si="23"/>
        <v>0.61728395061728403</v>
      </c>
      <c r="AM39">
        <f t="shared" si="12"/>
        <v>6479.6224014976951</v>
      </c>
      <c r="AN39" s="10">
        <f t="shared" si="24"/>
        <v>2139.5202955863792</v>
      </c>
      <c r="AO39" s="10">
        <f t="shared" si="24"/>
        <v>3162.7706584732455</v>
      </c>
      <c r="AP39" s="10">
        <f t="shared" si="25"/>
        <v>5302.2909540596247</v>
      </c>
      <c r="AQ39" s="9">
        <f t="shared" si="26"/>
        <v>0.40350865581004858</v>
      </c>
      <c r="AR39" s="9">
        <f t="shared" si="27"/>
        <v>0.59649134418995142</v>
      </c>
      <c r="AS39">
        <f t="shared" si="39"/>
        <v>6479.6224014976951</v>
      </c>
      <c r="AT39">
        <f t="shared" si="40"/>
        <v>2139.5202955863792</v>
      </c>
      <c r="AU39">
        <f t="shared" si="41"/>
        <v>3162.7706584732446</v>
      </c>
      <c r="AV39">
        <f t="shared" si="31"/>
        <v>0.54996350812929484</v>
      </c>
      <c r="AW39">
        <f t="shared" si="32"/>
        <v>0.18159361990021813</v>
      </c>
      <c r="AX39">
        <f t="shared" si="33"/>
        <v>0.26844287197048705</v>
      </c>
      <c r="AY39" s="3">
        <f t="shared" si="13"/>
        <v>4.3814476524173973E-2</v>
      </c>
      <c r="AZ39">
        <f t="shared" si="14"/>
        <v>1.0868129739220005E-2</v>
      </c>
      <c r="BA39" s="11">
        <f t="shared" si="34"/>
        <v>3.8380411654563969E-2</v>
      </c>
    </row>
    <row r="40" spans="1:53" x14ac:dyDescent="0.2">
      <c r="H40" s="10">
        <f t="shared" si="35"/>
        <v>36</v>
      </c>
      <c r="I40">
        <f t="shared" si="15"/>
        <v>0</v>
      </c>
      <c r="J40">
        <f t="shared" si="16"/>
        <v>1E-4</v>
      </c>
      <c r="K40">
        <f t="shared" si="17"/>
        <v>-100</v>
      </c>
      <c r="L40" s="9">
        <f t="shared" si="0"/>
        <v>0.49022315035225233</v>
      </c>
      <c r="M40" s="11">
        <f t="shared" si="1"/>
        <v>0.49022315035225233</v>
      </c>
      <c r="N40" s="10">
        <f>SUMPRODUCT(I41:I$54, L41:L$54) / L40</f>
        <v>0</v>
      </c>
      <c r="O40" s="10">
        <f>SUMPRODUCT(J41:J$54, M41:M$54) / M40</f>
        <v>1.2106248770585527E-3</v>
      </c>
      <c r="P40" s="10">
        <f>SUMPRODUCT(K41:K$54, M41:M$54) / M40</f>
        <v>-1210.6248770585528</v>
      </c>
      <c r="Q40" s="10" cm="1">
        <f t="array" ref="Q40">IF($H40 &gt;= $B$12 - 1, 0, SUMPRODUCT(I41:I$54*L41:L$54, $H41:$H$54 - $H40) / L40 /N40) / (1 + $B$10)</f>
        <v>0</v>
      </c>
      <c r="R40" s="10" cm="1">
        <f t="array" ref="R40">SUMPRODUCT(J41:J$54*L41:L$54, $H41:$H$54 - $H40) / L40 /O40 / (1 + $B$10)</f>
        <v>7.0378635985350018</v>
      </c>
      <c r="S40" s="10" cm="1">
        <f t="array" ref="S40">SUMPRODUCT(K41:K$54*M41:M$54, $H41:$H$54 - $H40) / M40 /P40 / (1 + $B$10)</f>
        <v>7.0378635985349982</v>
      </c>
      <c r="T40" s="10">
        <f t="shared" si="36"/>
        <v>0</v>
      </c>
      <c r="U40" s="10">
        <f t="shared" si="37"/>
        <v>-99.999899999999997</v>
      </c>
      <c r="V40" s="10">
        <f t="shared" si="18"/>
        <v>-1210.6236664336757</v>
      </c>
      <c r="W40">
        <f t="shared" ref="W40:W54" si="45">W39 * (1+BA39) + U40</f>
        <v>12134.108140222015</v>
      </c>
      <c r="X40" s="10">
        <f t="shared" si="44"/>
        <v>10923.48447378834</v>
      </c>
      <c r="Y40" s="10">
        <f t="shared" si="2"/>
        <v>0</v>
      </c>
      <c r="Z40">
        <f t="shared" si="3"/>
        <v>0</v>
      </c>
      <c r="AA40" s="10">
        <f t="shared" si="4"/>
        <v>0</v>
      </c>
      <c r="AB40" s="10">
        <f t="shared" si="5"/>
        <v>0</v>
      </c>
      <c r="AC40" s="10">
        <f t="shared" si="6"/>
        <v>4.6055204074223243E-4</v>
      </c>
      <c r="AD40" s="10">
        <f t="shared" si="7"/>
        <v>7.500728363163203E-4</v>
      </c>
      <c r="AE40">
        <f t="shared" si="20"/>
        <v>-460.55204074223218</v>
      </c>
      <c r="AF40" s="10">
        <f t="shared" si="8"/>
        <v>-750.0728363163206</v>
      </c>
      <c r="AG40" s="10">
        <f t="shared" si="21"/>
        <v>-460.55158019019143</v>
      </c>
      <c r="AH40" s="10">
        <f t="shared" si="22"/>
        <v>-750.07208624348425</v>
      </c>
      <c r="AI40">
        <f t="shared" si="9"/>
        <v>6742.8916504866302</v>
      </c>
      <c r="AJ40">
        <f t="shared" si="10"/>
        <v>1685.7229126216575</v>
      </c>
      <c r="AK40" s="10">
        <f t="shared" si="11"/>
        <v>2494.8699106800518</v>
      </c>
      <c r="AL40" s="4">
        <f t="shared" si="23"/>
        <v>0.61728395061728403</v>
      </c>
      <c r="AM40">
        <f t="shared" si="12"/>
        <v>6742.8916504866302</v>
      </c>
      <c r="AN40" s="10">
        <f>AJ40 - AG40</f>
        <v>2146.2744928118491</v>
      </c>
      <c r="AO40" s="10">
        <f t="shared" si="24"/>
        <v>3244.941996923536</v>
      </c>
      <c r="AP40" s="10">
        <f t="shared" si="25"/>
        <v>5391.216489735385</v>
      </c>
      <c r="AQ40" s="9">
        <f t="shared" si="26"/>
        <v>0.39810578872101532</v>
      </c>
      <c r="AR40" s="9">
        <f t="shared" si="27"/>
        <v>0.60189421127898468</v>
      </c>
      <c r="AS40">
        <f t="shared" si="39"/>
        <v>6742.8916504866302</v>
      </c>
      <c r="AT40">
        <f t="shared" si="40"/>
        <v>2146.2744928118491</v>
      </c>
      <c r="AU40">
        <f t="shared" si="41"/>
        <v>3244.941996923536</v>
      </c>
      <c r="AV40">
        <f t="shared" si="31"/>
        <v>0.55569734277671079</v>
      </c>
      <c r="AW40">
        <f t="shared" si="32"/>
        <v>0.17687945978472044</v>
      </c>
      <c r="AX40">
        <f t="shared" si="33"/>
        <v>0.26742319743856874</v>
      </c>
      <c r="AY40" s="3">
        <f t="shared" si="13"/>
        <v>4.3996688308915635E-2</v>
      </c>
      <c r="AZ40">
        <f t="shared" si="14"/>
        <v>1.1018782514035749E-2</v>
      </c>
      <c r="BA40" s="11">
        <f t="shared" si="34"/>
        <v>3.8487297051897761E-2</v>
      </c>
    </row>
    <row r="41" spans="1:53" x14ac:dyDescent="0.2">
      <c r="H41" s="10">
        <f t="shared" si="35"/>
        <v>37</v>
      </c>
      <c r="I41">
        <f t="shared" si="15"/>
        <v>0</v>
      </c>
      <c r="J41">
        <f t="shared" si="16"/>
        <v>1E-4</v>
      </c>
      <c r="K41">
        <f t="shared" si="17"/>
        <v>-100</v>
      </c>
      <c r="L41" s="9">
        <f t="shared" si="0"/>
        <v>0.48061093171789437</v>
      </c>
      <c r="M41" s="11">
        <f t="shared" si="1"/>
        <v>0.48061093171789437</v>
      </c>
      <c r="N41" s="10">
        <f>SUMPRODUCT(I42:I$54, L42:L$54) / L41</f>
        <v>0</v>
      </c>
      <c r="O41" s="10">
        <f>SUMPRODUCT(J42:J$54, M42:M$54) / M41</f>
        <v>1.1348373745997242E-3</v>
      </c>
      <c r="P41" s="10">
        <f>SUMPRODUCT(K42:K$54, M42:M$54) / M41</f>
        <v>-1134.8373745997239</v>
      </c>
      <c r="Q41" s="10" cm="1">
        <f t="array" ref="Q41">IF($H41 &gt;= $B$12 - 1, 0, SUMPRODUCT(I42:I$54*L42:L$54, $H42:$H$54 - $H41) / L41 /N41) / (1 + $B$10)</f>
        <v>0</v>
      </c>
      <c r="R41" s="10" cm="1">
        <f t="array" ref="R41">SUMPRODUCT(J42:J$54*L42:L$54, $H42:$H$54 - $H41) / L41 /O41 / (1 + $B$10)</f>
        <v>6.5912458464682553</v>
      </c>
      <c r="S41" s="10" cm="1">
        <f t="array" ref="S41">SUMPRODUCT(K42:K$54*M42:M$54, $H42:$H$54 - $H41) / M41 /P41 / (1 + $B$10)</f>
        <v>6.5912458464682571</v>
      </c>
      <c r="T41" s="10">
        <f t="shared" si="36"/>
        <v>0</v>
      </c>
      <c r="U41" s="10">
        <f t="shared" si="37"/>
        <v>-99.999899999999997</v>
      </c>
      <c r="V41" s="10">
        <f t="shared" si="18"/>
        <v>-1134.8362397623494</v>
      </c>
      <c r="W41">
        <f t="shared" si="45"/>
        <v>12501.117264674589</v>
      </c>
      <c r="X41" s="10">
        <f t="shared" si="44"/>
        <v>11366.281024912239</v>
      </c>
      <c r="Y41" s="10">
        <f t="shared" si="2"/>
        <v>0</v>
      </c>
      <c r="Z41">
        <f t="shared" si="3"/>
        <v>0</v>
      </c>
      <c r="AA41" s="10">
        <f t="shared" si="4"/>
        <v>0</v>
      </c>
      <c r="AB41" s="10">
        <f t="shared" si="5"/>
        <v>0</v>
      </c>
      <c r="AC41" s="10">
        <f t="shared" si="6"/>
        <v>4.0432389901337139E-4</v>
      </c>
      <c r="AD41" s="10">
        <f t="shared" si="7"/>
        <v>7.3051347558635276E-4</v>
      </c>
      <c r="AE41">
        <f t="shared" si="20"/>
        <v>-404.32389901337143</v>
      </c>
      <c r="AF41" s="10">
        <f t="shared" si="8"/>
        <v>-730.51347558635257</v>
      </c>
      <c r="AG41" s="10">
        <f t="shared" si="21"/>
        <v>-404.3234946894724</v>
      </c>
      <c r="AH41" s="10">
        <f t="shared" si="22"/>
        <v>-730.51274507287701</v>
      </c>
      <c r="AI41">
        <f t="shared" si="9"/>
        <v>7016.2228548840994</v>
      </c>
      <c r="AJ41">
        <f t="shared" si="10"/>
        <v>1754.0557137210249</v>
      </c>
      <c r="AK41" s="10">
        <f t="shared" si="11"/>
        <v>2596.0024563071152</v>
      </c>
      <c r="AL41" s="4">
        <f t="shared" si="23"/>
        <v>0.61728395061728403</v>
      </c>
      <c r="AM41">
        <f t="shared" si="12"/>
        <v>7016.2228548840994</v>
      </c>
      <c r="AN41" s="10">
        <f t="shared" ref="AN41:AN54" si="46">AJ41 - AG41</f>
        <v>2158.3792084104971</v>
      </c>
      <c r="AO41" s="10">
        <f t="shared" si="24"/>
        <v>3326.515201379992</v>
      </c>
      <c r="AP41" s="10">
        <f t="shared" si="25"/>
        <v>5484.8944097904896</v>
      </c>
      <c r="AQ41" s="9">
        <f t="shared" si="26"/>
        <v>0.39351335634790136</v>
      </c>
      <c r="AR41" s="9">
        <f t="shared" si="27"/>
        <v>0.60648664365209859</v>
      </c>
      <c r="AS41">
        <f t="shared" si="39"/>
        <v>7016.2228548840994</v>
      </c>
      <c r="AT41">
        <f t="shared" si="40"/>
        <v>2158.3792084104971</v>
      </c>
      <c r="AU41">
        <f t="shared" si="41"/>
        <v>3326.5152013799925</v>
      </c>
      <c r="AV41">
        <f t="shared" si="31"/>
        <v>0.56124766341568555</v>
      </c>
      <c r="AW41">
        <f t="shared" si="32"/>
        <v>0.1726549045747777</v>
      </c>
      <c r="AX41">
        <f t="shared" si="33"/>
        <v>0.26609743200953673</v>
      </c>
      <c r="AY41" s="3">
        <f t="shared" si="13"/>
        <v>4.41764555823752E-2</v>
      </c>
      <c r="AZ41">
        <f t="shared" si="14"/>
        <v>1.1171800446730667E-2</v>
      </c>
      <c r="BA41" s="11">
        <f t="shared" si="34"/>
        <v>3.8590555359009869E-2</v>
      </c>
    </row>
    <row r="42" spans="1:53" x14ac:dyDescent="0.2">
      <c r="H42" s="10">
        <f t="shared" si="35"/>
        <v>38</v>
      </c>
      <c r="I42">
        <f t="shared" si="15"/>
        <v>0</v>
      </c>
      <c r="J42">
        <f t="shared" si="16"/>
        <v>1E-4</v>
      </c>
      <c r="K42">
        <f t="shared" si="17"/>
        <v>-100</v>
      </c>
      <c r="L42" s="9">
        <f t="shared" si="0"/>
        <v>0.47118718795871989</v>
      </c>
      <c r="M42" s="11">
        <f t="shared" si="1"/>
        <v>0.47118718795871989</v>
      </c>
      <c r="N42" s="10">
        <f>SUMPRODUCT(I43:I$54, L43:L$54) / L42</f>
        <v>0</v>
      </c>
      <c r="O42" s="10">
        <f>SUMPRODUCT(J43:J$54, M43:M$54) / M42</f>
        <v>1.0575341220917186E-3</v>
      </c>
      <c r="P42" s="10">
        <f>SUMPRODUCT(K43:K$54, M43:M$54) / M42</f>
        <v>-1057.5341220917187</v>
      </c>
      <c r="Q42" s="10" cm="1">
        <f t="array" ref="Q42">IF($H42 &gt;= $B$12 - 1, 0, SUMPRODUCT(I43:I$54*L43:L$54, $H43:$H$54 - $H42) / L42 /N42) / (1 + $B$10)</f>
        <v>0</v>
      </c>
      <c r="R42" s="10" cm="1">
        <f t="array" ref="R42">SUMPRODUCT(J43:J$54*L43:L$54, $H43:$H$54 - $H42) / L42 /O42 / (1 + $B$10)</f>
        <v>6.1414137512050084</v>
      </c>
      <c r="S42" s="10" cm="1">
        <f t="array" ref="S42">SUMPRODUCT(K43:K$54*M43:M$54, $H43:$H$54 - $H42) / M42 /P42 / (1 + $B$10)</f>
        <v>6.1414137512050067</v>
      </c>
      <c r="T42" s="10">
        <f t="shared" si="36"/>
        <v>0</v>
      </c>
      <c r="U42" s="10">
        <f t="shared" si="37"/>
        <v>-99.999899999999997</v>
      </c>
      <c r="V42" s="10">
        <f t="shared" si="18"/>
        <v>-1057.5330645575966</v>
      </c>
      <c r="W42">
        <f t="shared" si="45"/>
        <v>12883.542422526487</v>
      </c>
      <c r="X42" s="10">
        <f t="shared" si="44"/>
        <v>11826.009357968891</v>
      </c>
      <c r="Y42" s="10">
        <f t="shared" si="2"/>
        <v>0</v>
      </c>
      <c r="Z42">
        <f t="shared" si="3"/>
        <v>0</v>
      </c>
      <c r="AA42" s="10">
        <f t="shared" si="4"/>
        <v>0</v>
      </c>
      <c r="AB42" s="10">
        <f t="shared" si="5"/>
        <v>0</v>
      </c>
      <c r="AC42" s="10">
        <f t="shared" si="6"/>
        <v>3.5106781620446474E-4</v>
      </c>
      <c r="AD42" s="10">
        <f t="shared" si="7"/>
        <v>7.0646630588725389E-4</v>
      </c>
      <c r="AE42">
        <f t="shared" si="20"/>
        <v>-351.06781620446463</v>
      </c>
      <c r="AF42" s="10">
        <f t="shared" si="8"/>
        <v>-706.46630588725407</v>
      </c>
      <c r="AG42" s="10">
        <f t="shared" si="21"/>
        <v>-351.06746513664842</v>
      </c>
      <c r="AH42" s="10">
        <f t="shared" si="22"/>
        <v>-706.46559942094814</v>
      </c>
      <c r="AI42">
        <f t="shared" si="9"/>
        <v>7300.0057765240081</v>
      </c>
      <c r="AJ42">
        <f t="shared" si="10"/>
        <v>1825.001444131002</v>
      </c>
      <c r="AK42" s="10">
        <f t="shared" si="11"/>
        <v>2701.0021373138807</v>
      </c>
      <c r="AL42" s="4">
        <f t="shared" si="23"/>
        <v>0.61728395061728403</v>
      </c>
      <c r="AM42">
        <f t="shared" si="12"/>
        <v>7300.0057765240081</v>
      </c>
      <c r="AN42" s="10">
        <f t="shared" si="46"/>
        <v>2176.0689092676503</v>
      </c>
      <c r="AO42" s="10">
        <f t="shared" si="24"/>
        <v>3407.4677367348286</v>
      </c>
      <c r="AP42" s="10">
        <f t="shared" si="25"/>
        <v>5583.5366460024788</v>
      </c>
      <c r="AQ42" s="9">
        <f t="shared" si="26"/>
        <v>0.38972949355058001</v>
      </c>
      <c r="AR42" s="9">
        <f t="shared" si="27"/>
        <v>0.61027050644941994</v>
      </c>
      <c r="AS42">
        <f t="shared" si="39"/>
        <v>7300.0057765240081</v>
      </c>
      <c r="AT42">
        <f t="shared" si="40"/>
        <v>2176.0689092676503</v>
      </c>
      <c r="AU42">
        <f t="shared" si="41"/>
        <v>3407.4677367348286</v>
      </c>
      <c r="AV42">
        <f t="shared" si="31"/>
        <v>0.56661479716635754</v>
      </c>
      <c r="AW42">
        <f t="shared" si="32"/>
        <v>0.16890299561267086</v>
      </c>
      <c r="AX42">
        <f t="shared" si="33"/>
        <v>0.2644822072209716</v>
      </c>
      <c r="AY42" s="3">
        <f t="shared" si="13"/>
        <v>4.4353621842781008E-2</v>
      </c>
      <c r="AZ42">
        <f t="shared" si="14"/>
        <v>1.1326409829551728E-2</v>
      </c>
      <c r="BA42" s="11">
        <f t="shared" si="34"/>
        <v>3.8690416928005143E-2</v>
      </c>
    </row>
    <row r="43" spans="1:53" x14ac:dyDescent="0.2">
      <c r="H43" s="10">
        <f t="shared" si="35"/>
        <v>39</v>
      </c>
      <c r="I43">
        <f t="shared" si="15"/>
        <v>0</v>
      </c>
      <c r="J43">
        <f t="shared" si="16"/>
        <v>1E-4</v>
      </c>
      <c r="K43">
        <f t="shared" si="17"/>
        <v>-100</v>
      </c>
      <c r="L43" s="9">
        <f t="shared" si="0"/>
        <v>0.46194822348894127</v>
      </c>
      <c r="M43" s="11">
        <f t="shared" si="1"/>
        <v>0.46194822348894127</v>
      </c>
      <c r="N43" s="10">
        <f>SUMPRODUCT(I44:I$54, L44:L$54) / L43</f>
        <v>0</v>
      </c>
      <c r="O43" s="10">
        <f>SUMPRODUCT(J44:J$54, M44:M$54) / M43</f>
        <v>9.7868480453355247E-4</v>
      </c>
      <c r="P43" s="10">
        <f>SUMPRODUCT(K44:K$54, M44:M$54) / M43</f>
        <v>-978.68480453355244</v>
      </c>
      <c r="Q43" s="10" cm="1">
        <f t="array" ref="Q43">IF($H43 &gt;= $B$12 - 1, 0, SUMPRODUCT(I44:I$54*L44:L$54, $H44:$H$54 - $H43) / L43 /N43) / (1 + $B$10)</f>
        <v>0</v>
      </c>
      <c r="R43" s="10" cm="1">
        <f t="array" ref="R43">SUMPRODUCT(J44:J$54*L44:L$54, $H44:$H$54 - $H43) / L43 /O43 / (1 + $B$10)</f>
        <v>5.6883641637205669</v>
      </c>
      <c r="S43" s="10" cm="1">
        <f t="array" ref="S43">SUMPRODUCT(K44:K$54*M44:M$54, $H44:$H$54 - $H43) / M43 /P43 / (1 + $B$10)</f>
        <v>5.6883641637205669</v>
      </c>
      <c r="T43" s="10">
        <f t="shared" si="36"/>
        <v>0</v>
      </c>
      <c r="U43" s="10">
        <f t="shared" si="37"/>
        <v>-99.999899999999997</v>
      </c>
      <c r="V43" s="10">
        <f t="shared" si="18"/>
        <v>-978.68382584874792</v>
      </c>
      <c r="W43">
        <f t="shared" si="45"/>
        <v>13282.012150363676</v>
      </c>
      <c r="X43" s="10">
        <f t="shared" si="44"/>
        <v>12303.328324514929</v>
      </c>
      <c r="Y43" s="10">
        <f t="shared" si="2"/>
        <v>0</v>
      </c>
      <c r="Z43">
        <f t="shared" si="3"/>
        <v>0</v>
      </c>
      <c r="AA43" s="10">
        <f t="shared" si="4"/>
        <v>0</v>
      </c>
      <c r="AB43" s="10">
        <f t="shared" si="5"/>
        <v>0</v>
      </c>
      <c r="AC43" s="10">
        <f t="shared" si="6"/>
        <v>3.0092516592900151E-4</v>
      </c>
      <c r="AD43" s="10">
        <f t="shared" si="7"/>
        <v>6.7775963860455097E-4</v>
      </c>
      <c r="AE43">
        <f t="shared" si="20"/>
        <v>-300.92516592900148</v>
      </c>
      <c r="AF43" s="10">
        <f t="shared" si="8"/>
        <v>-677.7596386045509</v>
      </c>
      <c r="AG43" s="10">
        <f t="shared" si="21"/>
        <v>-300.92486500383558</v>
      </c>
      <c r="AH43" s="10">
        <f t="shared" si="22"/>
        <v>-677.75896084491228</v>
      </c>
      <c r="AI43">
        <f t="shared" si="9"/>
        <v>7594.6471138981051</v>
      </c>
      <c r="AJ43">
        <f t="shared" si="10"/>
        <v>1898.6617784745263</v>
      </c>
      <c r="AK43" s="10">
        <f t="shared" si="11"/>
        <v>2810.0194321422973</v>
      </c>
      <c r="AL43" s="4">
        <f t="shared" si="23"/>
        <v>0.61728395061728403</v>
      </c>
      <c r="AM43">
        <f t="shared" si="12"/>
        <v>7594.6471138981051</v>
      </c>
      <c r="AN43" s="10">
        <f t="shared" si="46"/>
        <v>2199.586643478362</v>
      </c>
      <c r="AO43" s="10">
        <f t="shared" si="24"/>
        <v>3487.7783929872094</v>
      </c>
      <c r="AP43" s="10">
        <f t="shared" si="25"/>
        <v>5687.3650364655714</v>
      </c>
      <c r="AQ43" s="9">
        <f t="shared" si="26"/>
        <v>0.38674968625634432</v>
      </c>
      <c r="AR43" s="9">
        <f t="shared" si="27"/>
        <v>0.61325031374365568</v>
      </c>
      <c r="AS43">
        <f t="shared" si="39"/>
        <v>7594.6471138981051</v>
      </c>
      <c r="AT43">
        <f t="shared" si="40"/>
        <v>2199.586643478362</v>
      </c>
      <c r="AU43">
        <f t="shared" si="41"/>
        <v>3487.7783929872094</v>
      </c>
      <c r="AV43">
        <f t="shared" si="31"/>
        <v>0.57179944031975272</v>
      </c>
      <c r="AW43">
        <f t="shared" si="32"/>
        <v>0.16560643211112669</v>
      </c>
      <c r="AX43">
        <f t="shared" si="33"/>
        <v>0.26259412756912059</v>
      </c>
      <c r="AY43" s="3">
        <f t="shared" si="13"/>
        <v>4.4528041933901377E-2</v>
      </c>
      <c r="AZ43">
        <f t="shared" si="14"/>
        <v>1.1481914925932531E-2</v>
      </c>
      <c r="BA43" s="11">
        <f t="shared" si="34"/>
        <v>3.878708447093511E-2</v>
      </c>
    </row>
    <row r="44" spans="1:53" x14ac:dyDescent="0.2">
      <c r="H44" s="10">
        <f t="shared" si="35"/>
        <v>40</v>
      </c>
      <c r="I44">
        <f t="shared" si="15"/>
        <v>0</v>
      </c>
      <c r="J44">
        <f t="shared" si="16"/>
        <v>1E-4</v>
      </c>
      <c r="K44">
        <f t="shared" si="17"/>
        <v>-100</v>
      </c>
      <c r="L44" s="9">
        <f t="shared" si="0"/>
        <v>0.45289041518523643</v>
      </c>
      <c r="M44" s="11">
        <f t="shared" si="1"/>
        <v>0.45289041518523643</v>
      </c>
      <c r="N44" s="10">
        <f>SUMPRODUCT(I45:I$54, L45:L$54) / L44</f>
        <v>0</v>
      </c>
      <c r="O44" s="10">
        <f>SUMPRODUCT(J45:J$54, M45:M$54) / M44</f>
        <v>8.982585006242238E-4</v>
      </c>
      <c r="P44" s="10">
        <f>SUMPRODUCT(K45:K$54, M45:M$54) / M44</f>
        <v>-898.25850062422364</v>
      </c>
      <c r="Q44" s="10" cm="1">
        <f t="array" ref="Q44">IF($H44 &gt;= $B$12 - 1, 0, SUMPRODUCT(I45:I$54*L45:L$54, $H45:$H$54 - $H44) / L44 /N44) / (1 + $B$10)</f>
        <v>0</v>
      </c>
      <c r="R44" s="10" cm="1">
        <f t="array" ref="R44">SUMPRODUCT(J45:J$54*L45:L$54, $H45:$H$54 - $H44) / L44 /O44 / (1 + $B$10)</f>
        <v>5.2320941836684076</v>
      </c>
      <c r="S44" s="10" cm="1">
        <f t="array" ref="S44">SUMPRODUCT(K45:K$54*M45:M$54, $H45:$H$54 - $H44) / M44 /P44 / (1 + $B$10)</f>
        <v>5.2320941836684094</v>
      </c>
      <c r="T44" s="10">
        <f t="shared" si="36"/>
        <v>0</v>
      </c>
      <c r="U44" s="10">
        <f t="shared" si="37"/>
        <v>-99.999899999999997</v>
      </c>
      <c r="V44" s="10">
        <f t="shared" si="18"/>
        <v>-898.25760236572307</v>
      </c>
      <c r="W44">
        <f t="shared" si="45"/>
        <v>13697.182777583817</v>
      </c>
      <c r="X44" s="10">
        <f t="shared" si="44"/>
        <v>12798.925175218094</v>
      </c>
      <c r="Y44" s="10">
        <f t="shared" si="2"/>
        <v>0</v>
      </c>
      <c r="Z44">
        <f t="shared" si="3"/>
        <v>0</v>
      </c>
      <c r="AA44" s="10">
        <f t="shared" si="4"/>
        <v>0</v>
      </c>
      <c r="AB44" s="10">
        <f t="shared" si="5"/>
        <v>0</v>
      </c>
      <c r="AC44" s="10">
        <f t="shared" si="6"/>
        <v>2.5404178792144357E-4</v>
      </c>
      <c r="AD44" s="10">
        <f t="shared" si="7"/>
        <v>6.4421671270278023E-4</v>
      </c>
      <c r="AE44">
        <f t="shared" si="20"/>
        <v>-254.04178792144359</v>
      </c>
      <c r="AF44" s="10">
        <f t="shared" si="8"/>
        <v>-644.21671270278011</v>
      </c>
      <c r="AG44" s="10">
        <f t="shared" si="21"/>
        <v>-254.04153387965567</v>
      </c>
      <c r="AH44" s="10">
        <f t="shared" si="22"/>
        <v>-644.21606848606746</v>
      </c>
      <c r="AI44">
        <f t="shared" si="9"/>
        <v>7900.5710958136387</v>
      </c>
      <c r="AJ44">
        <f t="shared" si="10"/>
        <v>1975.1427739534097</v>
      </c>
      <c r="AK44" s="10">
        <f t="shared" si="11"/>
        <v>2923.2113054510451</v>
      </c>
      <c r="AL44" s="4">
        <f t="shared" si="23"/>
        <v>0.61728395061728403</v>
      </c>
      <c r="AM44">
        <f t="shared" si="12"/>
        <v>7900.5710958136387</v>
      </c>
      <c r="AN44" s="10">
        <f t="shared" si="46"/>
        <v>2229.1843078330653</v>
      </c>
      <c r="AO44" s="10">
        <f t="shared" si="24"/>
        <v>3567.4273739371124</v>
      </c>
      <c r="AP44" s="10">
        <f t="shared" si="25"/>
        <v>5796.6116817701777</v>
      </c>
      <c r="AQ44" s="9">
        <f t="shared" si="26"/>
        <v>0.38456678318536491</v>
      </c>
      <c r="AR44" s="9">
        <f t="shared" si="27"/>
        <v>0.61543321681463514</v>
      </c>
      <c r="AS44">
        <f t="shared" si="39"/>
        <v>7900.5710958136387</v>
      </c>
      <c r="AT44">
        <f t="shared" si="40"/>
        <v>2229.1843078330653</v>
      </c>
      <c r="AU44">
        <f t="shared" si="41"/>
        <v>3567.4273739371133</v>
      </c>
      <c r="AV44">
        <f t="shared" si="31"/>
        <v>0.57680263336657467</v>
      </c>
      <c r="AW44">
        <f t="shared" si="32"/>
        <v>0.16274764993873386</v>
      </c>
      <c r="AX44">
        <f t="shared" si="33"/>
        <v>0.26044971669469152</v>
      </c>
      <c r="AY44" s="3">
        <f t="shared" si="13"/>
        <v>4.4699581834050331E-2</v>
      </c>
      <c r="AZ44">
        <f t="shared" si="14"/>
        <v>1.1637693643581942E-2</v>
      </c>
      <c r="BA44" s="11">
        <f t="shared" si="34"/>
        <v>3.888073501225936E-2</v>
      </c>
    </row>
    <row r="45" spans="1:53" x14ac:dyDescent="0.2">
      <c r="H45" s="10">
        <f t="shared" si="35"/>
        <v>41</v>
      </c>
      <c r="I45">
        <f t="shared" si="15"/>
        <v>0</v>
      </c>
      <c r="J45">
        <f t="shared" si="16"/>
        <v>1E-4</v>
      </c>
      <c r="K45">
        <f t="shared" si="17"/>
        <v>-100</v>
      </c>
      <c r="L45" s="9">
        <f t="shared" si="0"/>
        <v>0.44401021096591808</v>
      </c>
      <c r="M45" s="11">
        <f t="shared" si="1"/>
        <v>0.44401021096591808</v>
      </c>
      <c r="N45" s="10">
        <f>SUMPRODUCT(I46:I$54, L46:L$54) / L45</f>
        <v>0</v>
      </c>
      <c r="O45" s="10">
        <f>SUMPRODUCT(J46:J$54, M46:M$54) / M45</f>
        <v>8.162236706367082E-4</v>
      </c>
      <c r="P45" s="10">
        <f>SUMPRODUCT(K46:K$54, M46:M$54) / M45</f>
        <v>-816.22367063670799</v>
      </c>
      <c r="Q45" s="10" cm="1">
        <f t="array" ref="Q45">IF($H45 &gt;= $B$12 - 1, 0, SUMPRODUCT(I46:I$54*L46:L$54, $H46:$H$54 - $H45) / L45 /N45) / (1 + $B$10)</f>
        <v>0</v>
      </c>
      <c r="R45" s="10" cm="1">
        <f t="array" ref="R45">SUMPRODUCT(J46:J$54*L46:L$54, $H46:$H$54 - $H45) / L45 /O45 / (1 + $B$10)</f>
        <v>4.7726011601877003</v>
      </c>
      <c r="S45" s="10" cm="1">
        <f t="array" ref="S45">SUMPRODUCT(K46:K$54*M46:M$54, $H46:$H$54 - $H45) / M45 /P45 / (1 + $B$10)</f>
        <v>4.7726011601877012</v>
      </c>
      <c r="T45" s="10">
        <f t="shared" si="36"/>
        <v>0</v>
      </c>
      <c r="U45" s="10">
        <f t="shared" si="37"/>
        <v>-99.999899999999997</v>
      </c>
      <c r="V45" s="10">
        <f t="shared" si="18"/>
        <v>-816.22285441303734</v>
      </c>
      <c r="W45">
        <f t="shared" si="45"/>
        <v>14129.739411573535</v>
      </c>
      <c r="X45" s="10">
        <f t="shared" si="44"/>
        <v>13313.516557160498</v>
      </c>
      <c r="Y45" s="10">
        <f t="shared" si="2"/>
        <v>0</v>
      </c>
      <c r="Z45">
        <f t="shared" si="3"/>
        <v>0</v>
      </c>
      <c r="AA45" s="10">
        <f t="shared" si="4"/>
        <v>0</v>
      </c>
      <c r="AB45" s="10">
        <f t="shared" si="5"/>
        <v>0</v>
      </c>
      <c r="AC45" s="10">
        <f t="shared" si="6"/>
        <v>2.1056811013261712E-4</v>
      </c>
      <c r="AD45" s="10">
        <f t="shared" si="7"/>
        <v>6.0565556050409114E-4</v>
      </c>
      <c r="AE45">
        <f t="shared" si="20"/>
        <v>-210.56811013261711</v>
      </c>
      <c r="AF45" s="10">
        <f t="shared" si="8"/>
        <v>-605.65556050409089</v>
      </c>
      <c r="AG45" s="10">
        <f t="shared" si="21"/>
        <v>-210.56789956450697</v>
      </c>
      <c r="AH45" s="10">
        <f t="shared" si="22"/>
        <v>-605.65495484853034</v>
      </c>
      <c r="AI45">
        <f t="shared" si="9"/>
        <v>8218.2200970126542</v>
      </c>
      <c r="AJ45">
        <f t="shared" si="10"/>
        <v>2054.5550242531635</v>
      </c>
      <c r="AK45" s="10">
        <f t="shared" si="11"/>
        <v>3040.7414358946799</v>
      </c>
      <c r="AL45" s="4">
        <f t="shared" si="23"/>
        <v>0.61728395061728392</v>
      </c>
      <c r="AM45">
        <f t="shared" si="12"/>
        <v>8218.2200970126542</v>
      </c>
      <c r="AN45" s="10">
        <f t="shared" si="46"/>
        <v>2265.1229238176707</v>
      </c>
      <c r="AO45" s="10">
        <f t="shared" si="24"/>
        <v>3646.3963907432103</v>
      </c>
      <c r="AP45" s="10">
        <f t="shared" si="25"/>
        <v>5911.519314560881</v>
      </c>
      <c r="AQ45" s="9">
        <f t="shared" si="26"/>
        <v>0.38317102648017454</v>
      </c>
      <c r="AR45" s="9">
        <f t="shared" si="27"/>
        <v>0.61682897351982546</v>
      </c>
      <c r="AS45">
        <f t="shared" si="39"/>
        <v>8218.2200970126542</v>
      </c>
      <c r="AT45">
        <f t="shared" si="40"/>
        <v>2265.1229238176707</v>
      </c>
      <c r="AU45">
        <f t="shared" si="41"/>
        <v>3646.3963907432103</v>
      </c>
      <c r="AV45">
        <f t="shared" si="31"/>
        <v>0.58162573686823893</v>
      </c>
      <c r="AW45">
        <f t="shared" si="32"/>
        <v>0.16030889585708355</v>
      </c>
      <c r="AX45">
        <f t="shared" si="33"/>
        <v>0.25806536727467755</v>
      </c>
      <c r="AY45" s="3">
        <f t="shared" si="13"/>
        <v>4.4868118433300394E-2</v>
      </c>
      <c r="AZ45">
        <f t="shared" si="14"/>
        <v>1.1793193052061429E-2</v>
      </c>
      <c r="BA45" s="11">
        <f t="shared" si="34"/>
        <v>3.8971521907269678E-2</v>
      </c>
    </row>
    <row r="46" spans="1:53" x14ac:dyDescent="0.2">
      <c r="H46" s="10">
        <f t="shared" si="35"/>
        <v>42</v>
      </c>
      <c r="I46">
        <f t="shared" si="15"/>
        <v>0</v>
      </c>
      <c r="J46">
        <f t="shared" si="16"/>
        <v>1E-4</v>
      </c>
      <c r="K46">
        <f t="shared" si="17"/>
        <v>-100</v>
      </c>
      <c r="L46" s="9">
        <f t="shared" si="0"/>
        <v>0.4353041283979589</v>
      </c>
      <c r="M46" s="11">
        <f t="shared" si="1"/>
        <v>0.4353041283979589</v>
      </c>
      <c r="N46" s="10">
        <f>SUMPRODUCT(I47:I$54, L47:L$54) / L46</f>
        <v>0</v>
      </c>
      <c r="O46" s="10">
        <f>SUMPRODUCT(J47:J$54, M47:M$54) / M46</f>
        <v>7.3254814404944237E-4</v>
      </c>
      <c r="P46" s="10">
        <f>SUMPRODUCT(K47:K$54, M47:M$54) / M46</f>
        <v>-732.54814404944227</v>
      </c>
      <c r="Q46" s="10" cm="1">
        <f t="array" ref="Q46">IF($H46 &gt;= $B$12 - 1, 0, SUMPRODUCT(I47:I$54*L47:L$54, $H47:$H$54 - $H46) / L46 /N46) / (1 + $B$10)</f>
        <v>0</v>
      </c>
      <c r="R46" s="10" cm="1">
        <f t="array" ref="R46">SUMPRODUCT(J47:J$54*L47:L$54, $H47:$H$54 - $H46) / L46 /O46 / (1 + $B$10)</f>
        <v>4.3098826926420921</v>
      </c>
      <c r="S46" s="10" cm="1">
        <f t="array" ref="S46">SUMPRODUCT(K47:K$54*M47:M$54, $H47:$H$54 - $H46) / M46 /P46 / (1 + $B$10)</f>
        <v>4.309882692642093</v>
      </c>
      <c r="T46" s="10">
        <f t="shared" si="36"/>
        <v>0</v>
      </c>
      <c r="U46" s="10">
        <f t="shared" si="37"/>
        <v>-99.999899999999997</v>
      </c>
      <c r="V46" s="10">
        <f t="shared" si="18"/>
        <v>-732.54741150129826</v>
      </c>
      <c r="W46">
        <f t="shared" si="45"/>
        <v>14580.396960595685</v>
      </c>
      <c r="X46" s="10">
        <f t="shared" si="44"/>
        <v>13847.849549094386</v>
      </c>
      <c r="Y46" s="10">
        <f t="shared" si="2"/>
        <v>0</v>
      </c>
      <c r="Z46">
        <f t="shared" si="3"/>
        <v>0</v>
      </c>
      <c r="AA46" s="10">
        <f t="shared" si="4"/>
        <v>0</v>
      </c>
      <c r="AB46" s="10">
        <f t="shared" si="5"/>
        <v>0</v>
      </c>
      <c r="AC46" s="10">
        <f t="shared" si="6"/>
        <v>1.7065927392247447E-4</v>
      </c>
      <c r="AD46" s="10">
        <f t="shared" si="7"/>
        <v>5.6188887012696784E-4</v>
      </c>
      <c r="AE46">
        <f t="shared" si="20"/>
        <v>-170.65927392247451</v>
      </c>
      <c r="AF46" s="10">
        <f t="shared" si="8"/>
        <v>-561.88887012696773</v>
      </c>
      <c r="AG46" s="10">
        <f t="shared" si="21"/>
        <v>-170.65910326320059</v>
      </c>
      <c r="AH46" s="10">
        <f t="shared" si="22"/>
        <v>-561.88830823809758</v>
      </c>
      <c r="AI46">
        <f t="shared" si="9"/>
        <v>8548.0552772187584</v>
      </c>
      <c r="AJ46">
        <f t="shared" si="10"/>
        <v>2137.0138193046896</v>
      </c>
      <c r="AK46" s="10">
        <f t="shared" si="11"/>
        <v>3162.780452570938</v>
      </c>
      <c r="AL46" s="4">
        <f t="shared" si="23"/>
        <v>0.61728395061728403</v>
      </c>
      <c r="AM46">
        <f t="shared" si="12"/>
        <v>8548.0552772187584</v>
      </c>
      <c r="AN46" s="10">
        <f t="shared" si="46"/>
        <v>2307.6729225678901</v>
      </c>
      <c r="AO46" s="10">
        <f t="shared" si="24"/>
        <v>3724.6687608090356</v>
      </c>
      <c r="AP46" s="10">
        <f t="shared" si="25"/>
        <v>6032.3416833769261</v>
      </c>
      <c r="AQ46" s="9">
        <f t="shared" si="26"/>
        <v>0.38255010138551149</v>
      </c>
      <c r="AR46" s="9">
        <f t="shared" si="27"/>
        <v>0.6174498986144884</v>
      </c>
      <c r="AS46">
        <f t="shared" si="39"/>
        <v>8548.0552772187584</v>
      </c>
      <c r="AT46">
        <f t="shared" si="40"/>
        <v>2307.6729225678901</v>
      </c>
      <c r="AU46">
        <f t="shared" si="41"/>
        <v>3724.668760809036</v>
      </c>
      <c r="AV46">
        <f t="shared" si="31"/>
        <v>0.58627040815969156</v>
      </c>
      <c r="AW46">
        <f t="shared" si="32"/>
        <v>0.15827229730469627</v>
      </c>
      <c r="AX46">
        <f t="shared" si="33"/>
        <v>0.25545729453561217</v>
      </c>
      <c r="AY46" s="3">
        <f t="shared" si="13"/>
        <v>4.5033539299434627E-2</v>
      </c>
      <c r="AZ46">
        <f t="shared" si="14"/>
        <v>1.1947924815121934E-2</v>
      </c>
      <c r="BA46" s="11">
        <f t="shared" si="34"/>
        <v>3.9059576891873657E-2</v>
      </c>
    </row>
    <row r="47" spans="1:53" x14ac:dyDescent="0.2">
      <c r="H47" s="10">
        <f t="shared" si="35"/>
        <v>43</v>
      </c>
      <c r="I47">
        <f t="shared" si="15"/>
        <v>0</v>
      </c>
      <c r="J47">
        <f t="shared" si="16"/>
        <v>1E-4</v>
      </c>
      <c r="K47">
        <f t="shared" si="17"/>
        <v>-100</v>
      </c>
      <c r="L47" s="9">
        <f t="shared" si="0"/>
        <v>0.4267687533313323</v>
      </c>
      <c r="M47" s="11">
        <f t="shared" si="1"/>
        <v>0.4267687533313323</v>
      </c>
      <c r="N47" s="10">
        <f>SUMPRODUCT(I48:I$54, L48:L$54) / L47</f>
        <v>0</v>
      </c>
      <c r="O47" s="10">
        <f>SUMPRODUCT(J48:J$54, M48:M$54) / M47</f>
        <v>6.4719910693043108E-4</v>
      </c>
      <c r="P47" s="10">
        <f>SUMPRODUCT(K48:K$54, M48:M$54) / M47</f>
        <v>-647.19910693043107</v>
      </c>
      <c r="Q47" s="10" cm="1">
        <f t="array" ref="Q47">IF($H47 &gt;= $B$12 - 1, 0, SUMPRODUCT(I48:I$54*L48:L$54, $H48:$H$54 - $H47) / L47 /N47) / (1 + $B$10)</f>
        <v>0</v>
      </c>
      <c r="R47" s="10" cm="1">
        <f t="array" ref="R47">SUMPRODUCT(J48:J$54*L48:L$54, $H48:$H$54 - $H47) / L47 /O47 / (1 + $B$10)</f>
        <v>3.8439366312893708</v>
      </c>
      <c r="S47" s="10" cm="1">
        <f t="array" ref="S47">SUMPRODUCT(K48:K$54*M48:M$54, $H48:$H$54 - $H47) / M47 /P47 / (1 + $B$10)</f>
        <v>3.8439366312893708</v>
      </c>
      <c r="T47" s="10">
        <f t="shared" si="36"/>
        <v>0</v>
      </c>
      <c r="U47" s="10">
        <f t="shared" si="37"/>
        <v>-99.999899999999997</v>
      </c>
      <c r="V47" s="10">
        <f t="shared" si="18"/>
        <v>-647.19845973132419</v>
      </c>
      <c r="W47">
        <f t="shared" si="45"/>
        <v>15049.901196792111</v>
      </c>
      <c r="X47" s="10">
        <f t="shared" si="44"/>
        <v>14402.702737060787</v>
      </c>
      <c r="Y47" s="10">
        <f t="shared" si="2"/>
        <v>0</v>
      </c>
      <c r="Z47">
        <f t="shared" si="3"/>
        <v>0</v>
      </c>
      <c r="AA47" s="10">
        <f t="shared" si="4"/>
        <v>0</v>
      </c>
      <c r="AB47" s="10">
        <f t="shared" si="5"/>
        <v>0</v>
      </c>
      <c r="AC47" s="10">
        <f t="shared" si="6"/>
        <v>1.3447526242527842E-4</v>
      </c>
      <c r="AD47" s="10">
        <f t="shared" si="7"/>
        <v>5.1272384450515263E-4</v>
      </c>
      <c r="AE47">
        <f t="shared" si="20"/>
        <v>-134.4752624252784</v>
      </c>
      <c r="AF47" s="10">
        <f t="shared" si="8"/>
        <v>-512.72384450515267</v>
      </c>
      <c r="AG47" s="10">
        <f t="shared" si="21"/>
        <v>-134.47512795001597</v>
      </c>
      <c r="AH47" s="10">
        <f t="shared" si="22"/>
        <v>-512.72333178130816</v>
      </c>
      <c r="AI47">
        <f t="shared" si="9"/>
        <v>8890.5572450992513</v>
      </c>
      <c r="AJ47">
        <f t="shared" si="10"/>
        <v>2222.6393112748128</v>
      </c>
      <c r="AK47" s="10">
        <f t="shared" si="11"/>
        <v>3289.5061806867225</v>
      </c>
      <c r="AL47" s="4">
        <f t="shared" si="23"/>
        <v>0.61728395061728403</v>
      </c>
      <c r="AM47">
        <f t="shared" si="12"/>
        <v>8890.5572450992513</v>
      </c>
      <c r="AN47" s="10">
        <f t="shared" si="46"/>
        <v>2357.1144392248289</v>
      </c>
      <c r="AO47" s="10">
        <f t="shared" si="24"/>
        <v>3802.2295124680304</v>
      </c>
      <c r="AP47" s="10">
        <f t="shared" si="25"/>
        <v>6159.3439516928593</v>
      </c>
      <c r="AQ47" s="9">
        <f t="shared" si="26"/>
        <v>0.38268920484250435</v>
      </c>
      <c r="AR47" s="9">
        <f t="shared" si="27"/>
        <v>0.61731079515749565</v>
      </c>
      <c r="AS47">
        <f t="shared" si="39"/>
        <v>8890.5572450992513</v>
      </c>
      <c r="AT47">
        <f t="shared" si="40"/>
        <v>2357.1144392248289</v>
      </c>
      <c r="AU47">
        <f t="shared" si="41"/>
        <v>3802.2295124680304</v>
      </c>
      <c r="AV47">
        <f t="shared" si="31"/>
        <v>0.59073857886816394</v>
      </c>
      <c r="AW47">
        <f t="shared" si="32"/>
        <v>0.15661992782565565</v>
      </c>
      <c r="AX47">
        <f t="shared" si="33"/>
        <v>0.25264149330618041</v>
      </c>
      <c r="AY47" s="3">
        <f t="shared" si="13"/>
        <v>4.5195742432983119E-2</v>
      </c>
      <c r="AZ47">
        <f t="shared" si="14"/>
        <v>1.2101460599511445E-2</v>
      </c>
      <c r="BA47" s="11">
        <f t="shared" si="34"/>
        <v>3.9145012133227394E-2</v>
      </c>
    </row>
    <row r="48" spans="1:53" x14ac:dyDescent="0.2">
      <c r="H48" s="10">
        <f t="shared" si="35"/>
        <v>44</v>
      </c>
      <c r="I48">
        <f t="shared" si="15"/>
        <v>0</v>
      </c>
      <c r="J48">
        <f t="shared" si="16"/>
        <v>1E-4</v>
      </c>
      <c r="K48">
        <f t="shared" si="17"/>
        <v>-100</v>
      </c>
      <c r="L48" s="9">
        <f t="shared" si="0"/>
        <v>0.41840073856012966</v>
      </c>
      <c r="M48" s="11">
        <f t="shared" si="1"/>
        <v>0.41840073856012966</v>
      </c>
      <c r="N48" s="10">
        <f>SUMPRODUCT(I49:I$54, L49:L$54) / L48</f>
        <v>0</v>
      </c>
      <c r="O48" s="10">
        <f>SUMPRODUCT(J49:J$54, M49:M$54) / M48</f>
        <v>5.6014308906903983E-4</v>
      </c>
      <c r="P48" s="10">
        <f>SUMPRODUCT(K49:K$54, M49:M$54) / M48</f>
        <v>-560.14308906903977</v>
      </c>
      <c r="Q48" s="10" cm="1">
        <f t="array" ref="Q48">IF($H48 &gt;= $B$12 - 1, 0, SUMPRODUCT(I49:I$54*L49:L$54, $H49:$H$54 - $H48) / L48 /N48) / (1 + $B$10)</f>
        <v>0</v>
      </c>
      <c r="R48" s="10" cm="1">
        <f t="array" ref="R48">SUMPRODUCT(J49:J$54*L49:L$54, $H49:$H$54 - $H48) / L48 /O48 / (1 + $B$10)</f>
        <v>3.3747610778816193</v>
      </c>
      <c r="S48" s="10" cm="1">
        <f t="array" ref="S48">SUMPRODUCT(K49:K$54*M49:M$54, $H49:$H$54 - $H48) / M48 /P48 / (1 + $B$10)</f>
        <v>3.3747610778816197</v>
      </c>
      <c r="T48" s="10">
        <f t="shared" si="36"/>
        <v>0</v>
      </c>
      <c r="U48" s="10">
        <f t="shared" si="37"/>
        <v>-99.999899999999997</v>
      </c>
      <c r="V48" s="10">
        <f t="shared" si="18"/>
        <v>-560.14252892595073</v>
      </c>
      <c r="W48">
        <f t="shared" si="45"/>
        <v>15539.02986174441</v>
      </c>
      <c r="X48" s="10">
        <f t="shared" si="44"/>
        <v>14978.887332818458</v>
      </c>
      <c r="Y48" s="10">
        <f t="shared" si="2"/>
        <v>0</v>
      </c>
      <c r="Z48">
        <f t="shared" si="3"/>
        <v>0</v>
      </c>
      <c r="AA48" s="10">
        <f t="shared" si="4"/>
        <v>0</v>
      </c>
      <c r="AB48" s="10">
        <f t="shared" si="5"/>
        <v>0</v>
      </c>
      <c r="AC48" s="10">
        <f t="shared" si="6"/>
        <v>1.0218103216403095E-4</v>
      </c>
      <c r="AD48" s="10">
        <f t="shared" si="7"/>
        <v>4.5796205690500888E-4</v>
      </c>
      <c r="AE48">
        <f t="shared" si="20"/>
        <v>-102.18103216403095</v>
      </c>
      <c r="AF48" s="10">
        <f t="shared" si="8"/>
        <v>-457.96205690500881</v>
      </c>
      <c r="AG48" s="10">
        <f t="shared" si="21"/>
        <v>-102.18092998299879</v>
      </c>
      <c r="AH48" s="10">
        <f t="shared" si="22"/>
        <v>-457.96159894295192</v>
      </c>
      <c r="AI48">
        <f t="shared" si="9"/>
        <v>9246.226748653371</v>
      </c>
      <c r="AJ48">
        <f t="shared" si="10"/>
        <v>2311.5566871633428</v>
      </c>
      <c r="AK48" s="10">
        <f t="shared" si="11"/>
        <v>3421.1038970017444</v>
      </c>
      <c r="AL48" s="4">
        <f t="shared" si="23"/>
        <v>0.61728395061728414</v>
      </c>
      <c r="AM48">
        <f t="shared" si="12"/>
        <v>9246.226748653371</v>
      </c>
      <c r="AN48" s="10">
        <f t="shared" si="46"/>
        <v>2413.7376171463416</v>
      </c>
      <c r="AO48" s="10">
        <f t="shared" si="24"/>
        <v>3879.0654959446965</v>
      </c>
      <c r="AP48" s="10">
        <f t="shared" si="25"/>
        <v>6292.8031130910385</v>
      </c>
      <c r="AQ48" s="9">
        <f t="shared" si="26"/>
        <v>0.38357113257285885</v>
      </c>
      <c r="AR48" s="9">
        <f t="shared" si="27"/>
        <v>0.61642886742714109</v>
      </c>
      <c r="AS48">
        <f t="shared" si="39"/>
        <v>9246.226748653371</v>
      </c>
      <c r="AT48">
        <f t="shared" si="40"/>
        <v>2413.7376171463416</v>
      </c>
      <c r="AU48">
        <f t="shared" si="41"/>
        <v>3879.065495944697</v>
      </c>
      <c r="AV48">
        <f t="shared" si="31"/>
        <v>0.59503243322909671</v>
      </c>
      <c r="AW48">
        <f t="shared" si="32"/>
        <v>0.15533386824159018</v>
      </c>
      <c r="AX48">
        <f t="shared" si="33"/>
        <v>0.24963369852931305</v>
      </c>
      <c r="AY48" s="3">
        <f t="shared" si="13"/>
        <v>4.5354636011579769E-2</v>
      </c>
      <c r="AZ48">
        <f t="shared" si="14"/>
        <v>1.2253427513844898E-2</v>
      </c>
      <c r="BA48" s="11">
        <f t="shared" si="34"/>
        <v>3.9227922254657321E-2</v>
      </c>
    </row>
    <row r="49" spans="8:53" x14ac:dyDescent="0.2">
      <c r="H49" s="10">
        <f t="shared" si="35"/>
        <v>45</v>
      </c>
      <c r="I49">
        <f t="shared" si="15"/>
        <v>0</v>
      </c>
      <c r="J49">
        <f t="shared" si="16"/>
        <v>1E-4</v>
      </c>
      <c r="K49">
        <f t="shared" si="17"/>
        <v>-100</v>
      </c>
      <c r="L49" s="9">
        <f t="shared" si="0"/>
        <v>0.41019680250993107</v>
      </c>
      <c r="M49" s="11">
        <f t="shared" si="1"/>
        <v>0.41019680250993107</v>
      </c>
      <c r="N49" s="10">
        <f>SUMPRODUCT(I50:I$54, L50:L$54) / L49</f>
        <v>0</v>
      </c>
      <c r="O49" s="10">
        <f>SUMPRODUCT(J50:J$54, M50:M$54) / M49</f>
        <v>4.7134595085042056E-4</v>
      </c>
      <c r="P49" s="10">
        <f>SUMPRODUCT(K50:K$54, M50:M$54) / M49</f>
        <v>-471.34595085042048</v>
      </c>
      <c r="Q49" s="10" cm="1">
        <f t="array" ref="Q49">IF($H49 &gt;= $B$12 - 1, 0, SUMPRODUCT(I50:I$54*L50:L$54, $H50:$H$54 - $H49) / L49 /N49) / (1 + $B$10)</f>
        <v>0</v>
      </c>
      <c r="R49" s="10" cm="1">
        <f t="array" ref="R49">SUMPRODUCT(J50:J$54*L50:L$54, $H50:$H$54 - $H49) / L49 /O49 / (1 + $B$10)</f>
        <v>2.9023543861955368</v>
      </c>
      <c r="S49" s="10" cm="1">
        <f t="array" ref="S49">SUMPRODUCT(K50:K$54*M50:M$54, $H50:$H$54 - $H49) / M49 /P49 / (1 + $B$10)</f>
        <v>2.9023543861955372</v>
      </c>
      <c r="T49" s="10">
        <f t="shared" si="36"/>
        <v>0</v>
      </c>
      <c r="U49" s="10">
        <f t="shared" si="37"/>
        <v>-99.999899999999997</v>
      </c>
      <c r="V49" s="10">
        <f t="shared" si="18"/>
        <v>-471.34547950446961</v>
      </c>
      <c r="W49">
        <f t="shared" si="45"/>
        <v>16048.593817073719</v>
      </c>
      <c r="X49" s="10">
        <f t="shared" si="44"/>
        <v>15577.24833756925</v>
      </c>
      <c r="Y49" s="10">
        <f t="shared" si="2"/>
        <v>0</v>
      </c>
      <c r="Z49">
        <f t="shared" si="3"/>
        <v>0</v>
      </c>
      <c r="AA49" s="10">
        <f t="shared" si="4"/>
        <v>0</v>
      </c>
      <c r="AB49" s="10">
        <f t="shared" si="5"/>
        <v>0</v>
      </c>
      <c r="AC49" s="10">
        <f t="shared" si="6"/>
        <v>7.3946647992768872E-5</v>
      </c>
      <c r="AD49" s="10">
        <f t="shared" si="7"/>
        <v>3.9739930285765171E-4</v>
      </c>
      <c r="AE49">
        <f t="shared" si="20"/>
        <v>-73.94664799276886</v>
      </c>
      <c r="AF49" s="10">
        <f t="shared" si="8"/>
        <v>-397.39930285765161</v>
      </c>
      <c r="AG49" s="10">
        <f t="shared" si="21"/>
        <v>-73.946574046120872</v>
      </c>
      <c r="AH49" s="10">
        <f t="shared" si="22"/>
        <v>-397.39890545834874</v>
      </c>
      <c r="AI49">
        <f t="shared" si="9"/>
        <v>9615.5853935612668</v>
      </c>
      <c r="AJ49">
        <f t="shared" si="10"/>
        <v>2403.8963483903167</v>
      </c>
      <c r="AK49" s="10">
        <f t="shared" si="11"/>
        <v>3557.7665956176666</v>
      </c>
      <c r="AL49" s="4">
        <f t="shared" si="23"/>
        <v>0.61728395061728403</v>
      </c>
      <c r="AM49">
        <f t="shared" si="12"/>
        <v>9615.5853935612668</v>
      </c>
      <c r="AN49" s="10">
        <f t="shared" si="46"/>
        <v>2477.8429224364377</v>
      </c>
      <c r="AO49" s="10">
        <f t="shared" si="24"/>
        <v>3955.1655010760151</v>
      </c>
      <c r="AP49" s="10">
        <f t="shared" si="25"/>
        <v>6433.0084235124523</v>
      </c>
      <c r="AQ49" s="9">
        <f t="shared" si="26"/>
        <v>0.38517638394192</v>
      </c>
      <c r="AR49" s="9">
        <f t="shared" si="27"/>
        <v>0.61482361605808011</v>
      </c>
      <c r="AS49">
        <f t="shared" si="39"/>
        <v>9615.5853935612668</v>
      </c>
      <c r="AT49">
        <f t="shared" si="40"/>
        <v>2477.8429224364377</v>
      </c>
      <c r="AU49">
        <f t="shared" si="41"/>
        <v>3955.1655010760146</v>
      </c>
      <c r="AV49">
        <f t="shared" si="31"/>
        <v>0.59915438717948444</v>
      </c>
      <c r="AW49">
        <f t="shared" si="32"/>
        <v>0.1543962636651891</v>
      </c>
      <c r="AX49">
        <f t="shared" si="33"/>
        <v>0.24644934915532649</v>
      </c>
      <c r="AY49" s="3">
        <f t="shared" si="13"/>
        <v>4.551013812383127E-2</v>
      </c>
      <c r="AZ49">
        <f t="shared" si="14"/>
        <v>1.2403503623490289E-2</v>
      </c>
      <c r="BA49" s="11">
        <f t="shared" si="34"/>
        <v>3.9308386312086128E-2</v>
      </c>
    </row>
    <row r="50" spans="8:53" x14ac:dyDescent="0.2">
      <c r="H50" s="10">
        <f t="shared" si="35"/>
        <v>46</v>
      </c>
      <c r="I50">
        <f t="shared" si="15"/>
        <v>0</v>
      </c>
      <c r="J50">
        <f t="shared" si="16"/>
        <v>1E-4</v>
      </c>
      <c r="K50">
        <f t="shared" si="17"/>
        <v>-100</v>
      </c>
      <c r="L50" s="9">
        <f t="shared" si="0"/>
        <v>0.40215372795091275</v>
      </c>
      <c r="M50" s="11">
        <f t="shared" si="1"/>
        <v>0.40215372795091275</v>
      </c>
      <c r="N50" s="10">
        <f>SUMPRODUCT(I51:I$54, L51:L$54) / L50</f>
        <v>0</v>
      </c>
      <c r="O50" s="10">
        <f>SUMPRODUCT(J51:J$54, M51:M$54) / M50</f>
        <v>3.8077286986742899E-4</v>
      </c>
      <c r="P50" s="10">
        <f>SUMPRODUCT(K51:K$54, M51:M$54) / M50</f>
        <v>-380.77286986742899</v>
      </c>
      <c r="Q50" s="10" cm="1">
        <f t="array" ref="Q50">IF($H50 &gt;= $B$12 - 1, 0, SUMPRODUCT(I51:I$54*L51:L$54, $H51:$H$54 - $H50) / L50 /N50) / (1 + $B$10)</f>
        <v>0</v>
      </c>
      <c r="R50" s="10" cm="1">
        <f t="array" ref="R50">SUMPRODUCT(J51:J$54*L51:L$54, $H51:$H$54 - $H50) / L50 /O50 / (1 + $B$10)</f>
        <v>2.4267151624926435</v>
      </c>
      <c r="S50" s="10" cm="1">
        <f t="array" ref="S50">SUMPRODUCT(K51:K$54*M51:M$54, $H51:$H$54 - $H50) / M50 /P50 / (1 + $B$10)</f>
        <v>2.426715162492644</v>
      </c>
      <c r="T50" s="10">
        <f t="shared" si="36"/>
        <v>0</v>
      </c>
      <c r="U50" s="10">
        <f t="shared" si="37"/>
        <v>-99.999899999999997</v>
      </c>
      <c r="V50" s="10">
        <f t="shared" si="18"/>
        <v>-380.77248909455915</v>
      </c>
      <c r="W50">
        <f t="shared" si="45"/>
        <v>16579.438242601012</v>
      </c>
      <c r="X50" s="10">
        <f t="shared" si="44"/>
        <v>16198.665753506453</v>
      </c>
      <c r="Y50" s="10">
        <f t="shared" si="2"/>
        <v>0</v>
      </c>
      <c r="Z50">
        <f t="shared" si="3"/>
        <v>0</v>
      </c>
      <c r="AA50" s="10">
        <f t="shared" si="4"/>
        <v>0</v>
      </c>
      <c r="AB50" s="10">
        <f t="shared" si="5"/>
        <v>0</v>
      </c>
      <c r="AC50" s="10">
        <f t="shared" si="6"/>
        <v>4.994742144719612E-5</v>
      </c>
      <c r="AD50" s="10">
        <f t="shared" si="7"/>
        <v>3.3082544842023289E-4</v>
      </c>
      <c r="AE50">
        <f t="shared" si="20"/>
        <v>-49.94742144719612</v>
      </c>
      <c r="AF50" s="10">
        <f t="shared" si="8"/>
        <v>-330.82544842023287</v>
      </c>
      <c r="AG50" s="10">
        <f t="shared" si="21"/>
        <v>-49.947371499774675</v>
      </c>
      <c r="AH50" s="10">
        <f t="shared" si="22"/>
        <v>-330.82511759478444</v>
      </c>
      <c r="AI50">
        <f t="shared" si="9"/>
        <v>9999.1763910533682</v>
      </c>
      <c r="AJ50">
        <f t="shared" si="10"/>
        <v>2499.7940977633421</v>
      </c>
      <c r="AK50" s="10">
        <f t="shared" si="11"/>
        <v>3699.695264689743</v>
      </c>
      <c r="AL50" s="4">
        <f t="shared" si="23"/>
        <v>0.61728395061728403</v>
      </c>
      <c r="AM50">
        <f t="shared" si="12"/>
        <v>9999.1763910533682</v>
      </c>
      <c r="AN50" s="10">
        <f t="shared" si="46"/>
        <v>2549.7414692631169</v>
      </c>
      <c r="AO50" s="10">
        <f t="shared" si="24"/>
        <v>4030.5203822845274</v>
      </c>
      <c r="AP50" s="10">
        <f t="shared" si="25"/>
        <v>6580.2618515476443</v>
      </c>
      <c r="AQ50" s="9">
        <f t="shared" si="26"/>
        <v>0.38748328361179585</v>
      </c>
      <c r="AR50" s="9">
        <f t="shared" si="27"/>
        <v>0.61251671638820415</v>
      </c>
      <c r="AS50">
        <f t="shared" si="39"/>
        <v>9999.1763910533682</v>
      </c>
      <c r="AT50">
        <f t="shared" si="40"/>
        <v>2549.7414692631169</v>
      </c>
      <c r="AU50">
        <f t="shared" si="41"/>
        <v>4030.5203822845274</v>
      </c>
      <c r="AV50">
        <f t="shared" si="31"/>
        <v>0.60310706820936766</v>
      </c>
      <c r="AW50">
        <f t="shared" si="32"/>
        <v>0.15378937645254673</v>
      </c>
      <c r="AX50">
        <f t="shared" si="33"/>
        <v>0.24310355533808556</v>
      </c>
      <c r="AY50" s="3">
        <f t="shared" si="13"/>
        <v>4.5662176492900178E-2</v>
      </c>
      <c r="AZ50">
        <f t="shared" si="14"/>
        <v>1.2551413580293887E-2</v>
      </c>
      <c r="BA50" s="11">
        <f t="shared" si="34"/>
        <v>3.9386469702753238E-2</v>
      </c>
    </row>
    <row r="51" spans="8:53" x14ac:dyDescent="0.2">
      <c r="H51" s="10">
        <f t="shared" si="35"/>
        <v>47</v>
      </c>
      <c r="I51">
        <f t="shared" si="15"/>
        <v>0</v>
      </c>
      <c r="J51">
        <f t="shared" si="16"/>
        <v>1E-4</v>
      </c>
      <c r="K51">
        <f t="shared" si="17"/>
        <v>-100</v>
      </c>
      <c r="L51" s="9">
        <f t="shared" si="0"/>
        <v>0.39426836073618909</v>
      </c>
      <c r="M51" s="11">
        <f t="shared" si="1"/>
        <v>0.39426836073618909</v>
      </c>
      <c r="N51" s="10">
        <f>SUMPRODUCT(I52:I$54, L52:L$54) / L51</f>
        <v>0</v>
      </c>
      <c r="O51" s="10">
        <f>SUMPRODUCT(J52:J$54, M52:M$54) / M51</f>
        <v>2.8838832726477744E-4</v>
      </c>
      <c r="P51" s="10">
        <f>SUMPRODUCT(K52:K$54, M52:M$54) / M51</f>
        <v>-288.38832726477744</v>
      </c>
      <c r="Q51" s="10" cm="1">
        <f t="array" ref="Q51">IF($H51 &gt;= $B$12 - 1, 0, SUMPRODUCT(I52:I$54*L52:L$54, $H52:$H$54 - $H51) / L51 /N51) / (1 + $B$10)</f>
        <v>0</v>
      </c>
      <c r="R51" s="10" cm="1">
        <f t="array" ref="R51">SUMPRODUCT(J52:J$54*L52:L$54, $H52:$H$54 - $H51) / L51 /O51 / (1 + $B$10)</f>
        <v>1.9478422659091086</v>
      </c>
      <c r="S51" s="10" cm="1">
        <f t="array" ref="S51">SUMPRODUCT(K52:K$54*M52:M$54, $H52:$H$54 - $H51) / M51 /P51 / (1 + $B$10)</f>
        <v>1.9478422659091086</v>
      </c>
      <c r="T51" s="10">
        <f t="shared" si="36"/>
        <v>0</v>
      </c>
      <c r="U51" s="10">
        <f t="shared" si="37"/>
        <v>-99.999899999999997</v>
      </c>
      <c r="V51" s="10">
        <f t="shared" si="18"/>
        <v>-288.3880388764502</v>
      </c>
      <c r="W51">
        <f t="shared" si="45"/>
        <v>17132.443884631888</v>
      </c>
      <c r="X51" s="10">
        <f>V51 + W51</f>
        <v>16844.055845755436</v>
      </c>
      <c r="Y51" s="10">
        <f t="shared" si="2"/>
        <v>0</v>
      </c>
      <c r="Z51">
        <f t="shared" si="3"/>
        <v>0</v>
      </c>
      <c r="AA51" s="10">
        <f t="shared" si="4"/>
        <v>0</v>
      </c>
      <c r="AB51" s="10">
        <f t="shared" si="5"/>
        <v>0</v>
      </c>
      <c r="AC51" s="10">
        <f t="shared" si="6"/>
        <v>3.0364052586008738E-5</v>
      </c>
      <c r="AD51" s="10">
        <f t="shared" si="7"/>
        <v>2.580242746787687E-4</v>
      </c>
      <c r="AE51">
        <f t="shared" si="20"/>
        <v>-30.364052586008739</v>
      </c>
      <c r="AF51" s="10">
        <f t="shared" si="8"/>
        <v>-258.02427467876873</v>
      </c>
      <c r="AG51" s="10">
        <f t="shared" si="21"/>
        <v>-30.364022221956155</v>
      </c>
      <c r="AH51" s="10">
        <f t="shared" si="22"/>
        <v>-258.02401665449406</v>
      </c>
      <c r="AI51">
        <f t="shared" si="9"/>
        <v>10397.565336886073</v>
      </c>
      <c r="AJ51">
        <f t="shared" si="10"/>
        <v>2599.3913342215183</v>
      </c>
      <c r="AK51" s="10">
        <f t="shared" si="11"/>
        <v>3847.0991746478448</v>
      </c>
      <c r="AL51" s="4">
        <f t="shared" si="23"/>
        <v>0.61728395061728403</v>
      </c>
      <c r="AM51">
        <f t="shared" si="12"/>
        <v>10397.565336886073</v>
      </c>
      <c r="AN51" s="10">
        <f t="shared" si="46"/>
        <v>2629.7553564434743</v>
      </c>
      <c r="AO51" s="10">
        <f t="shared" si="24"/>
        <v>4105.1231913023385</v>
      </c>
      <c r="AP51" s="10">
        <f t="shared" si="25"/>
        <v>6734.8785477458132</v>
      </c>
      <c r="AQ51" s="9">
        <f t="shared" si="26"/>
        <v>0.39046811873447407</v>
      </c>
      <c r="AR51" s="9">
        <f t="shared" si="27"/>
        <v>0.60953188126552593</v>
      </c>
      <c r="AS51">
        <f t="shared" si="39"/>
        <v>10397.565336886073</v>
      </c>
      <c r="AT51">
        <f t="shared" si="40"/>
        <v>2629.7553564434743</v>
      </c>
      <c r="AU51">
        <f t="shared" si="41"/>
        <v>4105.1231913023403</v>
      </c>
      <c r="AV51">
        <f t="shared" si="31"/>
        <v>0.6068932959537009</v>
      </c>
      <c r="AW51">
        <f t="shared" si="32"/>
        <v>0.15349563519086803</v>
      </c>
      <c r="AX51">
        <f t="shared" si="33"/>
        <v>0.23961106885543107</v>
      </c>
      <c r="AY51" s="3">
        <f t="shared" si="13"/>
        <v>4.5810688190056716E-2</v>
      </c>
      <c r="AZ51">
        <f t="shared" si="14"/>
        <v>1.2696924399356697E-2</v>
      </c>
      <c r="BA51" s="11">
        <f t="shared" si="34"/>
        <v>3.9462225990378366E-2</v>
      </c>
    </row>
    <row r="52" spans="8:53" x14ac:dyDescent="0.2">
      <c r="H52" s="10">
        <f t="shared" si="35"/>
        <v>48</v>
      </c>
      <c r="I52">
        <f t="shared" si="15"/>
        <v>0</v>
      </c>
      <c r="J52">
        <f t="shared" si="16"/>
        <v>1E-4</v>
      </c>
      <c r="K52">
        <f t="shared" si="17"/>
        <v>-100</v>
      </c>
      <c r="L52" s="9">
        <f t="shared" si="0"/>
        <v>0.38653760856489122</v>
      </c>
      <c r="M52" s="11">
        <f t="shared" si="1"/>
        <v>0.38653760856489122</v>
      </c>
      <c r="N52" s="10">
        <f>SUMPRODUCT(I53:I$54, L53:L$54) / L52</f>
        <v>0</v>
      </c>
      <c r="O52" s="10">
        <f>SUMPRODUCT(J53:J$54, M53:M$54) / M52</f>
        <v>1.9415609381007303E-4</v>
      </c>
      <c r="P52" s="10">
        <f>SUMPRODUCT(K53:K$54, M53:M$54) / M52</f>
        <v>-194.15609381007303</v>
      </c>
      <c r="Q52" s="10" cm="1">
        <f t="array" ref="Q52">IF($H52 &gt;= $B$12 - 1, 0, SUMPRODUCT(I53:I$54*L53:L$54, $H53:$H$54 - $H52) / L52 /N52) / (1 + $B$10)</f>
        <v>0</v>
      </c>
      <c r="R52" s="10" cm="1">
        <f t="array" ref="R52">SUMPRODUCT(J53:J$54*L53:L$54, $H53:$H$54 - $H52) / L52 /O52 / (1 + $B$10)</f>
        <v>1.4657348087749951</v>
      </c>
      <c r="S52" s="10" cm="1">
        <f t="array" ref="S52">SUMPRODUCT(K53:K$54*M53:M$54, $H53:$H$54 - $H52) / M52 /P52 / (1 + $B$10)</f>
        <v>1.4657348087749953</v>
      </c>
      <c r="T52" s="10">
        <f t="shared" si="36"/>
        <v>0</v>
      </c>
      <c r="U52" s="10">
        <f t="shared" si="37"/>
        <v>-99.999899999999997</v>
      </c>
      <c r="V52" s="10">
        <f t="shared" si="18"/>
        <v>-194.15589965397922</v>
      </c>
      <c r="W52">
        <f t="shared" si="45"/>
        <v>17708.528356974708</v>
      </c>
      <c r="X52" s="10">
        <f t="shared" ref="X52:X54" si="47">V52 + W52</f>
        <v>17514.372457320729</v>
      </c>
      <c r="Y52" s="10">
        <f t="shared" si="2"/>
        <v>0</v>
      </c>
      <c r="Z52">
        <f t="shared" si="3"/>
        <v>0</v>
      </c>
      <c r="AA52" s="10">
        <f t="shared" si="4"/>
        <v>0</v>
      </c>
      <c r="AB52" s="10">
        <f t="shared" si="5"/>
        <v>0</v>
      </c>
      <c r="AC52" s="10">
        <f t="shared" si="6"/>
        <v>1.5382775407200403E-5</v>
      </c>
      <c r="AD52" s="10">
        <f t="shared" si="7"/>
        <v>1.7877331840287263E-4</v>
      </c>
      <c r="AE52">
        <f t="shared" si="20"/>
        <v>-15.382775407200402</v>
      </c>
      <c r="AF52" s="10">
        <f t="shared" si="8"/>
        <v>-178.77331840287263</v>
      </c>
      <c r="AG52" s="10">
        <f t="shared" si="21"/>
        <v>-15.382760024424995</v>
      </c>
      <c r="AH52" s="10">
        <f t="shared" si="22"/>
        <v>-178.77313962955424</v>
      </c>
      <c r="AI52">
        <f t="shared" si="9"/>
        <v>10811.341023037488</v>
      </c>
      <c r="AJ52">
        <f t="shared" si="10"/>
        <v>2702.8352557593721</v>
      </c>
      <c r="AK52" s="10">
        <f t="shared" si="11"/>
        <v>4000.1961785238686</v>
      </c>
      <c r="AL52" s="4">
        <f t="shared" si="23"/>
        <v>0.61728395061728403</v>
      </c>
      <c r="AM52">
        <f t="shared" si="12"/>
        <v>10811.341023037488</v>
      </c>
      <c r="AN52" s="10">
        <f t="shared" si="46"/>
        <v>2718.218015783797</v>
      </c>
      <c r="AO52" s="10">
        <f t="shared" si="24"/>
        <v>4178.969318153423</v>
      </c>
      <c r="AP52" s="10">
        <f t="shared" si="25"/>
        <v>6897.1873339372196</v>
      </c>
      <c r="AQ52" s="9">
        <f t="shared" si="26"/>
        <v>0.39410529019691248</v>
      </c>
      <c r="AR52" s="9">
        <f t="shared" si="27"/>
        <v>0.60589470980308757</v>
      </c>
      <c r="AS52">
        <f t="shared" si="39"/>
        <v>10811.341023037488</v>
      </c>
      <c r="AT52">
        <f t="shared" si="40"/>
        <v>2718.218015783797</v>
      </c>
      <c r="AU52">
        <f t="shared" si="41"/>
        <v>4178.9693181534221</v>
      </c>
      <c r="AV52">
        <f t="shared" si="31"/>
        <v>0.61051606350898813</v>
      </c>
      <c r="AW52">
        <f t="shared" si="32"/>
        <v>0.15349767981782605</v>
      </c>
      <c r="AX52">
        <f t="shared" si="33"/>
        <v>0.23598625667318576</v>
      </c>
      <c r="AY52" s="3">
        <f t="shared" si="13"/>
        <v>4.5955619338537784E-2</v>
      </c>
      <c r="AZ52">
        <f t="shared" si="14"/>
        <v>1.283984140898772E-2</v>
      </c>
      <c r="BA52" s="11">
        <f t="shared" si="34"/>
        <v>3.9535698634043923E-2</v>
      </c>
    </row>
    <row r="53" spans="8:53" x14ac:dyDescent="0.2">
      <c r="H53" s="10">
        <f t="shared" si="35"/>
        <v>49</v>
      </c>
      <c r="I53">
        <f t="shared" si="15"/>
        <v>0</v>
      </c>
      <c r="J53">
        <f t="shared" si="16"/>
        <v>1E-4</v>
      </c>
      <c r="K53">
        <f t="shared" si="17"/>
        <v>-100</v>
      </c>
      <c r="L53" s="9">
        <f t="shared" si="0"/>
        <v>0.37895843976950117</v>
      </c>
      <c r="M53" s="11">
        <f t="shared" si="1"/>
        <v>0.37895843976950117</v>
      </c>
      <c r="N53" s="10">
        <f>SUMPRODUCT(I54:I$54, L54:L$54) / L53</f>
        <v>0</v>
      </c>
      <c r="O53" s="10">
        <f>SUMPRODUCT(J54:J$54, M54:M$54) / M53</f>
        <v>9.8039215686274519E-5</v>
      </c>
      <c r="P53" s="10">
        <f>SUMPRODUCT(K54:K$54, M54:M$54) / M53</f>
        <v>-98.039215686274517</v>
      </c>
      <c r="Q53" s="10" cm="1">
        <f t="array" ref="Q53">IF($H53 &gt;= $B$12 - 1, 0, SUMPRODUCT(I54:I$54*L54:L$54, $H54:$H$54 - $H53) / L53 /N53) / (1 + $B$10)</f>
        <v>0</v>
      </c>
      <c r="R53" s="10" cm="1">
        <f t="array" ref="R53">SUMPRODUCT(J54:J$54*L54:L$54, $H54:$H$54 - $H53) / L53 /O53 / (1 + $B$10)</f>
        <v>0.98039215686274506</v>
      </c>
      <c r="S53" s="10" cm="1">
        <f t="array" ref="S53">SUMPRODUCT(K54:K$54*M54:M$54, $H54:$H$54 - $H53) / M53 /P53 / (1 + $B$10)</f>
        <v>0.98039215686274506</v>
      </c>
      <c r="T53" s="10">
        <f t="shared" si="36"/>
        <v>0</v>
      </c>
      <c r="U53" s="10">
        <f t="shared" si="37"/>
        <v>-99.999899999999997</v>
      </c>
      <c r="V53" s="10">
        <f t="shared" si="18"/>
        <v>-98.039117647058831</v>
      </c>
      <c r="W53">
        <f t="shared" si="45"/>
        <v>18308.64749734848</v>
      </c>
      <c r="X53" s="10">
        <f t="shared" si="47"/>
        <v>18210.608379701422</v>
      </c>
      <c r="Y53" s="10">
        <f t="shared" si="2"/>
        <v>0</v>
      </c>
      <c r="Z53">
        <f t="shared" si="3"/>
        <v>0</v>
      </c>
      <c r="AA53" s="10">
        <f t="shared" si="4"/>
        <v>0</v>
      </c>
      <c r="AB53" s="10">
        <f t="shared" si="5"/>
        <v>0</v>
      </c>
      <c r="AC53" s="10">
        <f t="shared" si="6"/>
        <v>5.195506925610732E-6</v>
      </c>
      <c r="AD53" s="10">
        <f t="shared" si="7"/>
        <v>9.2843708760663785E-5</v>
      </c>
      <c r="AE53">
        <f t="shared" si="20"/>
        <v>-5.195506925610732</v>
      </c>
      <c r="AF53" s="10">
        <f t="shared" si="8"/>
        <v>-92.843708760663787</v>
      </c>
      <c r="AG53" s="10">
        <f t="shared" si="21"/>
        <v>-5.195501730103806</v>
      </c>
      <c r="AH53" s="10">
        <f t="shared" si="22"/>
        <v>-92.843615916955031</v>
      </c>
      <c r="AI53">
        <f t="shared" si="9"/>
        <v>11241.116283766311</v>
      </c>
      <c r="AJ53">
        <f t="shared" si="10"/>
        <v>2810.2790709415776</v>
      </c>
      <c r="AK53" s="10">
        <f t="shared" si="11"/>
        <v>4159.2130249935335</v>
      </c>
      <c r="AL53" s="4">
        <f t="shared" si="23"/>
        <v>0.61728395061728403</v>
      </c>
      <c r="AM53">
        <f t="shared" si="12"/>
        <v>11241.116283766311</v>
      </c>
      <c r="AN53" s="10">
        <f t="shared" si="46"/>
        <v>2815.4745726716815</v>
      </c>
      <c r="AO53" s="10">
        <f t="shared" si="24"/>
        <v>4252.0566409104886</v>
      </c>
      <c r="AP53" s="10">
        <f t="shared" si="25"/>
        <v>7067.5312135821696</v>
      </c>
      <c r="AQ53" s="9">
        <f t="shared" si="26"/>
        <v>0.39836747622153929</v>
      </c>
      <c r="AR53" s="9">
        <f t="shared" si="27"/>
        <v>0.60163252377846077</v>
      </c>
      <c r="AS53">
        <f t="shared" si="39"/>
        <v>11241.116283766311</v>
      </c>
      <c r="AT53">
        <f t="shared" si="40"/>
        <v>2815.4745726716815</v>
      </c>
      <c r="AU53">
        <f t="shared" si="41"/>
        <v>4252.0566409104886</v>
      </c>
      <c r="AV53">
        <f t="shared" si="31"/>
        <v>0.61397851946159798</v>
      </c>
      <c r="AW53">
        <f t="shared" si="32"/>
        <v>0.15377840296938525</v>
      </c>
      <c r="AX53">
        <f t="shared" si="33"/>
        <v>0.2322430775690168</v>
      </c>
      <c r="AY53" s="3">
        <f t="shared" si="13"/>
        <v>4.6096924808157774E-2</v>
      </c>
      <c r="AZ53">
        <f t="shared" si="14"/>
        <v>1.2980004394394283E-2</v>
      </c>
      <c r="BA53" s="11">
        <f t="shared" si="34"/>
        <v>3.9606922610960632E-2</v>
      </c>
    </row>
    <row r="54" spans="8:53" x14ac:dyDescent="0.2">
      <c r="H54" s="10">
        <f t="shared" si="35"/>
        <v>50</v>
      </c>
      <c r="I54">
        <f t="shared" si="15"/>
        <v>0</v>
      </c>
      <c r="J54">
        <f t="shared" si="16"/>
        <v>1E-4</v>
      </c>
      <c r="K54">
        <f t="shared" si="17"/>
        <v>-100</v>
      </c>
      <c r="L54" s="9">
        <f t="shared" si="0"/>
        <v>0.37152788212696192</v>
      </c>
      <c r="M54" s="11">
        <f t="shared" si="1"/>
        <v>0.37152788212696192</v>
      </c>
      <c r="N54" s="10">
        <f>SUMPRODUCT(I$54:I55, L$54:L55) / L54</f>
        <v>0</v>
      </c>
      <c r="O54" s="10">
        <f>SUMPRODUCT(J$54:J55, M$54:M55) / M54</f>
        <v>1E-4</v>
      </c>
      <c r="P54" s="10">
        <f>SUMPRODUCT(K$54:K55, M$54:M55) / M54</f>
        <v>-100</v>
      </c>
      <c r="Q54" s="10" cm="1">
        <f t="array" ref="Q54">IF($H54 &gt;= $B$12 - 1, 0, SUMPRODUCT(I$54:I55*L$54:L55, $H$54:$H55 - $H54) / L54 /N54) / (1 + $B$10)</f>
        <v>0</v>
      </c>
      <c r="R54" s="10" cm="1">
        <f t="array" ref="R54">SUMPRODUCT(J$54:J55*L$54:L55, $H$54:$H55 - $H54) / L54 /O54 / (1 + $B$10)</f>
        <v>0</v>
      </c>
      <c r="S54" s="10" cm="1">
        <f t="array" ref="S54">SUMPRODUCT(K$54:K55*M$54:M55, $H$54:$H55 - $H54) / M54 /P54 / (1 + $B$10)</f>
        <v>0</v>
      </c>
      <c r="T54" s="10">
        <f t="shared" si="36"/>
        <v>0</v>
      </c>
      <c r="U54" s="10">
        <f t="shared" si="37"/>
        <v>-99.999899999999997</v>
      </c>
      <c r="V54" s="10">
        <f t="shared" si="18"/>
        <v>-99.999899999999997</v>
      </c>
      <c r="W54">
        <f t="shared" si="45"/>
        <v>18933.796781887319</v>
      </c>
      <c r="X54" s="10">
        <f t="shared" si="47"/>
        <v>18833.79688188732</v>
      </c>
      <c r="Y54" s="10">
        <f t="shared" si="2"/>
        <v>0</v>
      </c>
      <c r="Z54">
        <f t="shared" si="3"/>
        <v>0</v>
      </c>
      <c r="AA54" s="10">
        <f t="shared" si="4"/>
        <v>0</v>
      </c>
      <c r="AB54" s="10">
        <f t="shared" si="5"/>
        <v>0</v>
      </c>
      <c r="AC54" s="10">
        <f t="shared" si="6"/>
        <v>0</v>
      </c>
      <c r="AD54" s="10">
        <f t="shared" si="7"/>
        <v>1E-4</v>
      </c>
      <c r="AE54">
        <f t="shared" si="20"/>
        <v>0</v>
      </c>
      <c r="AF54" s="10">
        <f t="shared" si="8"/>
        <v>-100</v>
      </c>
      <c r="AG54" s="10">
        <f t="shared" si="21"/>
        <v>0</v>
      </c>
      <c r="AH54" s="10">
        <f t="shared" si="22"/>
        <v>-99.999899999999997</v>
      </c>
      <c r="AI54">
        <f t="shared" si="9"/>
        <v>11625.80054437489</v>
      </c>
      <c r="AJ54">
        <f t="shared" si="10"/>
        <v>2906.4501360937224</v>
      </c>
      <c r="AK54" s="10">
        <f t="shared" si="11"/>
        <v>4301.5462014187069</v>
      </c>
      <c r="AL54" s="4">
        <f t="shared" si="23"/>
        <v>0.61728395061728403</v>
      </c>
      <c r="AM54">
        <f t="shared" si="12"/>
        <v>11625.80054437489</v>
      </c>
      <c r="AN54" s="10">
        <f t="shared" si="46"/>
        <v>2906.4501360937224</v>
      </c>
      <c r="AO54" s="10">
        <f t="shared" si="24"/>
        <v>4401.5461014187067</v>
      </c>
      <c r="AP54" s="10">
        <f t="shared" si="25"/>
        <v>7307.9962375124287</v>
      </c>
      <c r="AQ54" s="9">
        <f t="shared" si="26"/>
        <v>0.3977082146231441</v>
      </c>
      <c r="AR54" s="9">
        <f t="shared" si="27"/>
        <v>0.60229178537685601</v>
      </c>
      <c r="AS54">
        <f t="shared" si="39"/>
        <v>11625.80054437489</v>
      </c>
      <c r="AT54">
        <f t="shared" si="40"/>
        <v>2906.4501360937224</v>
      </c>
      <c r="AU54">
        <f t="shared" si="41"/>
        <v>4401.5461014187058</v>
      </c>
      <c r="AV54">
        <f t="shared" si="31"/>
        <v>0.61402373112489017</v>
      </c>
      <c r="AW54">
        <f t="shared" si="32"/>
        <v>0.15350593278122254</v>
      </c>
      <c r="AX54">
        <f t="shared" si="33"/>
        <v>0.23247033609388726</v>
      </c>
      <c r="AY54" s="3">
        <f t="shared" si="13"/>
        <v>4.6096008572807837E-2</v>
      </c>
      <c r="AZ54">
        <f t="shared" si="14"/>
        <v>1.2979090526587495E-2</v>
      </c>
      <c r="BA54" s="11">
        <f t="shared" si="34"/>
        <v>3.9606463309514089E-2</v>
      </c>
    </row>
    <row r="55" spans="8:53" x14ac:dyDescent="0.2">
      <c r="H55" s="9"/>
    </row>
    <row r="56" spans="8:53" x14ac:dyDescent="0.2">
      <c r="H56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61E2-3589-D943-B815-496F0F8BF283}">
  <dimension ref="A1:BA56"/>
  <sheetViews>
    <sheetView zoomScale="93" workbookViewId="0">
      <selection activeCell="C15" sqref="C15"/>
    </sheetView>
  </sheetViews>
  <sheetFormatPr baseColWidth="10" defaultRowHeight="16" x14ac:dyDescent="0.2"/>
  <cols>
    <col min="1" max="1" width="14" bestFit="1" customWidth="1"/>
    <col min="2" max="2" width="13.83203125" customWidth="1"/>
    <col min="3" max="3" width="16.83203125" bestFit="1" customWidth="1"/>
    <col min="6" max="6" width="2.83203125" customWidth="1"/>
    <col min="12" max="12" width="15.1640625" customWidth="1"/>
    <col min="13" max="13" width="14.33203125" bestFit="1" customWidth="1"/>
    <col min="14" max="14" width="10.83203125" customWidth="1"/>
    <col min="15" max="15" width="11.33203125" bestFit="1" customWidth="1"/>
    <col min="16" max="20" width="11.33203125" customWidth="1"/>
    <col min="23" max="23" width="10.83203125" customWidth="1"/>
    <col min="24" max="25" width="9.33203125" customWidth="1"/>
    <col min="33" max="33" width="10.83203125" customWidth="1"/>
    <col min="47" max="47" width="13.6640625" bestFit="1" customWidth="1"/>
  </cols>
  <sheetData>
    <row r="1" spans="1:53" x14ac:dyDescent="0.2">
      <c r="A1" s="1" t="s">
        <v>0</v>
      </c>
      <c r="H1" s="1" t="s">
        <v>26</v>
      </c>
      <c r="T1" t="s">
        <v>77</v>
      </c>
    </row>
    <row r="2" spans="1:53" x14ac:dyDescent="0.2">
      <c r="A2" t="s">
        <v>1</v>
      </c>
      <c r="B2" s="7">
        <v>250</v>
      </c>
      <c r="C2" t="s">
        <v>27</v>
      </c>
      <c r="T2">
        <v>0</v>
      </c>
    </row>
    <row r="3" spans="1:53" ht="68" x14ac:dyDescent="0.2">
      <c r="A3" s="13" t="s">
        <v>23</v>
      </c>
      <c r="B3" s="17">
        <v>1E-4</v>
      </c>
      <c r="H3" s="12" t="s">
        <v>25</v>
      </c>
      <c r="I3" s="12" t="s">
        <v>29</v>
      </c>
      <c r="J3" s="12" t="s">
        <v>30</v>
      </c>
      <c r="K3" s="12" t="s">
        <v>2</v>
      </c>
      <c r="L3" s="12" t="s">
        <v>31</v>
      </c>
      <c r="M3" s="12" t="s">
        <v>32</v>
      </c>
      <c r="N3" s="12" t="s">
        <v>28</v>
      </c>
      <c r="O3" s="12" t="s">
        <v>33</v>
      </c>
      <c r="P3" s="12" t="s">
        <v>54</v>
      </c>
      <c r="Q3" s="12" t="s">
        <v>41</v>
      </c>
      <c r="R3" s="12" t="s">
        <v>42</v>
      </c>
      <c r="S3" s="12" t="s">
        <v>46</v>
      </c>
      <c r="T3" s="12" t="s">
        <v>76</v>
      </c>
      <c r="U3" s="12" t="s">
        <v>35</v>
      </c>
      <c r="V3" s="12" t="s">
        <v>71</v>
      </c>
      <c r="W3" s="12" t="s">
        <v>34</v>
      </c>
      <c r="X3" s="12" t="s">
        <v>36</v>
      </c>
      <c r="Y3" s="12" t="s">
        <v>48</v>
      </c>
      <c r="Z3" s="12" t="s">
        <v>47</v>
      </c>
      <c r="AA3" s="12" t="s">
        <v>49</v>
      </c>
      <c r="AB3" s="12" t="s">
        <v>50</v>
      </c>
      <c r="AC3" s="12" t="s">
        <v>51</v>
      </c>
      <c r="AD3" s="12" t="s">
        <v>52</v>
      </c>
      <c r="AE3" s="12" t="s">
        <v>53</v>
      </c>
      <c r="AF3" s="12" t="s">
        <v>55</v>
      </c>
      <c r="AG3" s="12" t="s">
        <v>59</v>
      </c>
      <c r="AH3" s="12" t="s">
        <v>60</v>
      </c>
      <c r="AI3" s="12" t="s">
        <v>37</v>
      </c>
      <c r="AJ3" s="12" t="s">
        <v>38</v>
      </c>
      <c r="AK3" s="12" t="s">
        <v>39</v>
      </c>
      <c r="AL3" s="12" t="s">
        <v>70</v>
      </c>
      <c r="AM3" s="12" t="s">
        <v>56</v>
      </c>
      <c r="AN3" s="12" t="s">
        <v>57</v>
      </c>
      <c r="AO3" s="12" t="s">
        <v>58</v>
      </c>
      <c r="AP3" s="12" t="s">
        <v>72</v>
      </c>
      <c r="AQ3" s="12" t="s">
        <v>74</v>
      </c>
      <c r="AR3" s="12" t="s">
        <v>75</v>
      </c>
      <c r="AS3" s="12" t="s">
        <v>61</v>
      </c>
      <c r="AT3" s="12" t="s">
        <v>62</v>
      </c>
      <c r="AU3" s="12" t="s">
        <v>63</v>
      </c>
      <c r="AV3" s="12" t="s">
        <v>64</v>
      </c>
      <c r="AW3" s="12" t="s">
        <v>65</v>
      </c>
      <c r="AX3" s="12" t="s">
        <v>66</v>
      </c>
      <c r="AY3" s="12" t="s">
        <v>67</v>
      </c>
      <c r="AZ3" s="12" t="s">
        <v>68</v>
      </c>
      <c r="BA3" s="12" t="s">
        <v>69</v>
      </c>
    </row>
    <row r="4" spans="1:53" x14ac:dyDescent="0.2">
      <c r="A4" t="s">
        <v>2</v>
      </c>
      <c r="B4" s="7">
        <v>100</v>
      </c>
      <c r="H4" s="10">
        <f>B11</f>
        <v>0</v>
      </c>
      <c r="I4">
        <f>IF($H4 = $B$11, 0, IF($H4 &lt; $B$12, $B$2,0))</f>
        <v>0</v>
      </c>
      <c r="J4">
        <f>IF($H4 = $B$11, 0, IF($H4 &gt;= $B$12, $B$3,0))</f>
        <v>0</v>
      </c>
      <c r="K4">
        <f>-IF($H4 = $B$11, 0, IF($H4 &gt;= $B$12, $B$6,$B$4))</f>
        <v>0</v>
      </c>
      <c r="L4" s="9">
        <f t="shared" ref="L4:L54" si="0">(1+$B$21)^($B$11-H4)</f>
        <v>1</v>
      </c>
      <c r="M4" s="11">
        <f t="shared" ref="M4:M54" si="1">(1 +$B$22) ^ (-(H4 - $B$11))</f>
        <v>1</v>
      </c>
      <c r="N4" s="10">
        <f>SUMPRODUCT(I5:I$54, L5:L$54) / L4</f>
        <v>4666.1533079544288</v>
      </c>
      <c r="O4" s="10">
        <f>SUMPRODUCT(J5:J$54, M5:M$54) / M4</f>
        <v>2.8175713848512744E-4</v>
      </c>
      <c r="P4" s="10">
        <f>SUMPRODUCT(K5:K$54, M5:M$54) / M4</f>
        <v>-2148.2184616668987</v>
      </c>
      <c r="Q4" s="10" cm="1">
        <f t="array" ref="Q4">IF($H4 &gt;= $B$12 - 1, 0, SUMPRODUCT(I5:I$54*L5:L$54, $H5:$H$54 - $H4) / L4 /N4) / (1 + $B$10)</f>
        <v>13.576772045934618</v>
      </c>
      <c r="R4" s="10" cm="1">
        <f t="array" ref="R4">SUMPRODUCT(J5:J$54*L5:L$54, $H5:$H$54 - $H4) / L4 /O4 / (1 + $B$10)</f>
        <v>40.646237847004855</v>
      </c>
      <c r="S4" s="10" cm="1">
        <f t="array" ref="S4">SUMPRODUCT(K5:K$54*M5:M$54, $H5:$H$54 - $H4) / M4 /P4 / (1 + $B$10)</f>
        <v>17.127162921224102</v>
      </c>
      <c r="T4" s="10">
        <v>0</v>
      </c>
      <c r="U4">
        <f>I4+J4+K4</f>
        <v>0</v>
      </c>
      <c r="V4" s="10">
        <f>SUM(N4:P4)</f>
        <v>2517.9351280446685</v>
      </c>
      <c r="W4">
        <f>U4 + B5</f>
        <v>100</v>
      </c>
      <c r="X4" s="10">
        <f>V4 + W4</f>
        <v>2617.9351280446685</v>
      </c>
      <c r="Y4" s="10">
        <f t="shared" ref="Y4:Y54" si="2">N4-Z4</f>
        <v>4666.1533079544288</v>
      </c>
      <c r="Z4">
        <f t="shared" ref="Z4:Z54" si="3">N4 * $B$9</f>
        <v>0</v>
      </c>
      <c r="AA4" s="10">
        <f t="shared" ref="AA4:AA54" si="4">Q4 / $B$17 * Y4</f>
        <v>3424.3945834314072</v>
      </c>
      <c r="AB4" s="10">
        <f t="shared" ref="AB4:AB54" si="5">Y4 - AA4</f>
        <v>1241.7587245230216</v>
      </c>
      <c r="AC4" s="10">
        <f t="shared" ref="AC4:AC54" si="6">R4/$B$17 * O4</f>
        <v>6.1904690086259323E-4</v>
      </c>
      <c r="AD4" s="10">
        <f t="shared" ref="AD4:AD54" si="7">O4-AC4</f>
        <v>-3.3728976237746579E-4</v>
      </c>
      <c r="AE4">
        <f>S4/$B$17 * P4</f>
        <v>-1988.804734235156</v>
      </c>
      <c r="AF4" s="10">
        <f t="shared" ref="AF4:AF54" si="8">P4-AE4</f>
        <v>-159.4137274317427</v>
      </c>
      <c r="AG4" s="10">
        <f>AA4 + AC4 + AE4</f>
        <v>1435.5904682431519</v>
      </c>
      <c r="AH4" s="10">
        <f>AF4 + AD4 + AB4</f>
        <v>1082.3446598015164</v>
      </c>
      <c r="AI4">
        <f t="shared" ref="AI4:AI54" si="9">$B$30 * X4</f>
        <v>808.00466914958918</v>
      </c>
      <c r="AJ4">
        <f t="shared" ref="AJ4:AJ54" si="10">X4 * $B$31</f>
        <v>404.00233457479459</v>
      </c>
      <c r="AK4" s="10">
        <f t="shared" ref="AK4:AK54" si="11">X4 - AI4 - AJ4</f>
        <v>1405.928124320285</v>
      </c>
      <c r="AL4" s="4">
        <f>AI4/SUM(AI4:AK4)</f>
        <v>0.30864197530864196</v>
      </c>
      <c r="AM4">
        <f t="shared" ref="AM4:AM54" si="12">AI4 - Z4</f>
        <v>808.00466914958918</v>
      </c>
      <c r="AN4" s="10">
        <f>AJ4 - AG4</f>
        <v>-1031.5881336683574</v>
      </c>
      <c r="AO4" s="10">
        <f>AK4 - AH4</f>
        <v>323.58346451876855</v>
      </c>
      <c r="AP4" s="10">
        <f>SUM(AN4:AO4)</f>
        <v>-708.00466914958884</v>
      </c>
      <c r="AQ4" s="9">
        <f>MAX(0, MIN(AN4/AP4, 1))</f>
        <v>1</v>
      </c>
      <c r="AR4" s="9">
        <f>MAX(0,MIN(AO4/AP4, 1))</f>
        <v>0</v>
      </c>
      <c r="AS4">
        <f>MAX(MIN($W4,AM4), 0)</f>
        <v>100</v>
      </c>
      <c r="AT4">
        <f>MIN(IF(AP4 &lt; 0, 0, AQ4 * AP4),W4)</f>
        <v>0</v>
      </c>
      <c r="AU4">
        <f>W4-AS4-AT4</f>
        <v>0</v>
      </c>
      <c r="AV4">
        <f>IF(AM4 &gt; W4, 1, AS4 / SUM($AS4:$AU4))</f>
        <v>1</v>
      </c>
      <c r="AW4">
        <f>IF(AV4 = 1, 0, AT4 / SUM($AS4:$AU4))</f>
        <v>0</v>
      </c>
      <c r="AX4">
        <f>IF(AV4 = 1, 0, AU4 / SUM($AS4:$AU4))</f>
        <v>0</v>
      </c>
      <c r="AY4" s="3">
        <f t="shared" ref="AY4:AY54" si="13">AV4*$B$15+$B$16*AW4 + $B$10</f>
        <v>0.06</v>
      </c>
      <c r="AZ4">
        <f t="shared" ref="AZ4:AZ54" si="14">$C$15^2 * AV4^2 + AW4^2 * $C$16^2 + 2 * $C$15 * $C$16 * $D$15 * AV4 * AW4</f>
        <v>3.2399999999999998E-2</v>
      </c>
      <c r="BA4" s="11">
        <f>AY4 - 1/2 * AZ4</f>
        <v>4.3799999999999999E-2</v>
      </c>
    </row>
    <row r="5" spans="1:53" x14ac:dyDescent="0.2">
      <c r="A5" t="s">
        <v>73</v>
      </c>
      <c r="B5" s="7">
        <v>100</v>
      </c>
      <c r="H5" s="10">
        <f>H4+1</f>
        <v>1</v>
      </c>
      <c r="I5">
        <f t="shared" ref="I5:I54" si="15">IF($H5 = $B$11, 0, IF($H5 &lt; $B$12, $B$2,0))</f>
        <v>250</v>
      </c>
      <c r="J5">
        <f t="shared" ref="J5:J54" si="16">IF($H5 = $B$11, 0, IF($H5 &gt;= $B$12, $B$3,0))</f>
        <v>0</v>
      </c>
      <c r="K5">
        <f t="shared" ref="K5:K54" si="17">-IF($H5 = $B$11, 0, IF($H5 &gt;= $B$12, $B$6,$B$4))</f>
        <v>-100</v>
      </c>
      <c r="L5" s="9">
        <f t="shared" si="0"/>
        <v>0.96153846153846145</v>
      </c>
      <c r="M5" s="11">
        <f t="shared" si="1"/>
        <v>0.96153846153846145</v>
      </c>
      <c r="N5" s="10">
        <f>SUMPRODUCT(I6:I$54, L6:L$54) / L5</f>
        <v>4602.7994402726063</v>
      </c>
      <c r="O5" s="10">
        <f>SUMPRODUCT(J6:J$54, M6:M$54) / M5</f>
        <v>2.9302742402453257E-4</v>
      </c>
      <c r="P5" s="10">
        <f>SUMPRODUCT(K6:K$54, M6:M$54) / M5</f>
        <v>-2134.1472001335742</v>
      </c>
      <c r="Q5" s="10" cm="1">
        <f t="array" ref="Q5">IF($H5 &gt;= $B$12 - 1, 0, SUMPRODUCT(I6:I$54*L6:L$54, $H6:$H$54 - $H5) / L5 /N5) / (1 + $B$10)</f>
        <v>13.300427114338941</v>
      </c>
      <c r="R5" s="10" cm="1">
        <f t="array" ref="R5">SUMPRODUCT(J6:J$54*L6:L$54, $H6:$H$54 - $H5) / L5 /O5 / (1 + $B$10)</f>
        <v>39.684699385466402</v>
      </c>
      <c r="S5" s="10" cm="1">
        <f t="array" ref="S5">SUMPRODUCT(K6:K$54*M6:M$54, $H6:$H$54 - $H5) / M5 /P5 / (1 + $B$10)</f>
        <v>16.923099129599414</v>
      </c>
      <c r="T5" s="10">
        <f>-$B$34 * X4 * $T$2</f>
        <v>0</v>
      </c>
      <c r="U5" s="10">
        <f>I5+J5+K5+T5</f>
        <v>150</v>
      </c>
      <c r="V5" s="10">
        <f t="shared" ref="V5:V54" si="18">SUM(N5:P5)</f>
        <v>2468.6525331664561</v>
      </c>
      <c r="W5">
        <f>W4 * (1+BA4) + U5</f>
        <v>254.38</v>
      </c>
      <c r="X5" s="10">
        <f t="shared" ref="X5:X32" si="19">V5 + W5</f>
        <v>2723.0325331664562</v>
      </c>
      <c r="Y5" s="10">
        <f t="shared" si="2"/>
        <v>4602.7994402726063</v>
      </c>
      <c r="Z5">
        <f t="shared" si="3"/>
        <v>0</v>
      </c>
      <c r="AA5" s="10">
        <f t="shared" si="4"/>
        <v>3309.1458636359935</v>
      </c>
      <c r="AB5" s="10">
        <f t="shared" si="5"/>
        <v>1293.6535766366128</v>
      </c>
      <c r="AC5" s="10">
        <f t="shared" si="6"/>
        <v>6.2857866130330647E-4</v>
      </c>
      <c r="AD5" s="10">
        <f t="shared" si="7"/>
        <v>-3.355512372787739E-4</v>
      </c>
      <c r="AE5">
        <f t="shared" ref="AE5:AE54" si="20">S5/$B$17 * P5</f>
        <v>-1952.2370067577035</v>
      </c>
      <c r="AF5" s="10">
        <f t="shared" si="8"/>
        <v>-181.91019337587068</v>
      </c>
      <c r="AG5" s="10">
        <f t="shared" ref="AG5:AG54" si="21">AA5 + AC5 + AE5</f>
        <v>1356.9094854569512</v>
      </c>
      <c r="AH5" s="10">
        <f t="shared" ref="AH5:AH54" si="22">AF5 + AD5 + AB5</f>
        <v>1111.7430477095049</v>
      </c>
      <c r="AI5">
        <f t="shared" si="9"/>
        <v>840.44213986619025</v>
      </c>
      <c r="AJ5">
        <f t="shared" si="10"/>
        <v>420.22106993309512</v>
      </c>
      <c r="AK5" s="10">
        <f t="shared" si="11"/>
        <v>1462.3693233671709</v>
      </c>
      <c r="AL5" s="4">
        <f t="shared" ref="AL5:AL54" si="23">AI5/SUM(AI5:AK5)</f>
        <v>0.30864197530864201</v>
      </c>
      <c r="AM5">
        <f t="shared" si="12"/>
        <v>840.44213986619025</v>
      </c>
      <c r="AN5" s="10">
        <f t="shared" ref="AN5:AO54" si="24">AJ5 - AG5</f>
        <v>-936.68841552385607</v>
      </c>
      <c r="AO5" s="10">
        <f t="shared" si="24"/>
        <v>350.62627565766593</v>
      </c>
      <c r="AP5" s="10">
        <f t="shared" ref="AP5:AP54" si="25">SUM(AN5:AO5)</f>
        <v>-586.06213986619014</v>
      </c>
      <c r="AQ5" s="9">
        <f t="shared" ref="AQ5:AQ54" si="26">MAX(0, MIN(AN5/AP5, 1))</f>
        <v>1</v>
      </c>
      <c r="AR5" s="9">
        <f t="shared" ref="AR5:AR54" si="27">MAX(0,MIN(AO5/AP5, 1))</f>
        <v>0</v>
      </c>
      <c r="AS5">
        <f t="shared" ref="AS5:AS17" si="28">MAX(MIN($W5,AM5), 0)</f>
        <v>254.38</v>
      </c>
      <c r="AT5">
        <f t="shared" ref="AT5:AT17" si="29">MIN(IF(AP5 &lt; 0, 0, AQ5 * AP5),W5)</f>
        <v>0</v>
      </c>
      <c r="AU5">
        <f t="shared" ref="AU5:AU17" si="30">W5-AS5-AT5</f>
        <v>0</v>
      </c>
      <c r="AV5">
        <f t="shared" ref="AV5:AV54" si="31">IF(AM5 &gt; W5, 1, AS5 / SUM($AS5:$AU5))</f>
        <v>1</v>
      </c>
      <c r="AW5">
        <f t="shared" ref="AW5:AW54" si="32">IF(AV5 = 1, 0, AT5 / SUM($AS5:$AU5))</f>
        <v>0</v>
      </c>
      <c r="AX5">
        <f t="shared" ref="AX5:AX54" si="33">IF(AV5 = 1, 0, AU5 / SUM($AS5:$AU5))</f>
        <v>0</v>
      </c>
      <c r="AY5" s="3">
        <f t="shared" si="13"/>
        <v>0.06</v>
      </c>
      <c r="AZ5">
        <f t="shared" si="14"/>
        <v>3.2399999999999998E-2</v>
      </c>
      <c r="BA5" s="11">
        <f t="shared" ref="BA5:BA54" si="34">AY5 - 1/2 * AZ5</f>
        <v>4.3799999999999999E-2</v>
      </c>
    </row>
    <row r="6" spans="1:53" x14ac:dyDescent="0.2">
      <c r="A6" t="s">
        <v>22</v>
      </c>
      <c r="B6" s="7">
        <f>B4</f>
        <v>100</v>
      </c>
      <c r="H6" s="10">
        <f t="shared" ref="H6:H54" si="35">H5+1</f>
        <v>2</v>
      </c>
      <c r="I6">
        <f t="shared" si="15"/>
        <v>250</v>
      </c>
      <c r="J6">
        <f t="shared" si="16"/>
        <v>0</v>
      </c>
      <c r="K6">
        <f t="shared" si="17"/>
        <v>-100</v>
      </c>
      <c r="L6" s="9">
        <f t="shared" si="0"/>
        <v>0.92455621301775137</v>
      </c>
      <c r="M6" s="11">
        <f t="shared" si="1"/>
        <v>0.92455621301775137</v>
      </c>
      <c r="N6" s="10">
        <f>SUMPRODUCT(I7:I$54, L7:L$54) / L6</f>
        <v>4536.9114178835116</v>
      </c>
      <c r="O6" s="10">
        <f>SUMPRODUCT(J7:J$54, M7:M$54) / M6</f>
        <v>3.0474852098551388E-4</v>
      </c>
      <c r="P6" s="10">
        <f>SUMPRODUCT(K7:K$54, M7:M$54) / M6</f>
        <v>-2119.5130881389173</v>
      </c>
      <c r="Q6" s="10" cm="1">
        <f t="array" ref="Q6">IF($H6 &gt;= $B$12 - 1, 0, SUMPRODUCT(I7:I$54*L7:L$54, $H7:$H$54 - $H6) / L6 /N6) / (1 + $B$10)</f>
        <v>13.018805424161895</v>
      </c>
      <c r="R6" s="10" cm="1">
        <f t="array" ref="R6">SUMPRODUCT(J7:J$54*L7:L$54, $H7:$H$54 - $H6) / L6 /O6 / (1 + $B$10)</f>
        <v>38.723160923927935</v>
      </c>
      <c r="S6" s="10" cm="1">
        <f t="array" ref="S6">SUMPRODUCT(K7:K$54*M7:M$54, $H7:$H$54 - $H6) / M6 /P6 / (1 + $B$10)</f>
        <v>16.714637436370801</v>
      </c>
      <c r="T6" s="10">
        <f t="shared" ref="T6:T54" si="36">-$B$34 * X5 * $T$2</f>
        <v>0</v>
      </c>
      <c r="U6" s="10">
        <f t="shared" ref="U6:U54" si="37">I6+J6+K6+T6</f>
        <v>150</v>
      </c>
      <c r="V6" s="10">
        <f t="shared" si="18"/>
        <v>2417.398634493115</v>
      </c>
      <c r="W6">
        <f t="shared" ref="W6:W24" si="38">W5 * (1+BA5) + U6</f>
        <v>415.52184399999999</v>
      </c>
      <c r="X6" s="10">
        <f t="shared" si="19"/>
        <v>2832.9204784931148</v>
      </c>
      <c r="Y6" s="10">
        <f t="shared" si="2"/>
        <v>4536.9114178835116</v>
      </c>
      <c r="Z6">
        <f t="shared" si="3"/>
        <v>0</v>
      </c>
      <c r="AA6" s="10">
        <f t="shared" si="4"/>
        <v>3192.7117284369674</v>
      </c>
      <c r="AB6" s="10">
        <f t="shared" si="5"/>
        <v>1344.1996894465442</v>
      </c>
      <c r="AC6" s="10">
        <f t="shared" si="6"/>
        <v>6.3788248753789633E-4</v>
      </c>
      <c r="AD6" s="10">
        <f t="shared" si="7"/>
        <v>-3.3313396655238245E-4</v>
      </c>
      <c r="AE6">
        <f t="shared" si="20"/>
        <v>-1914.9671789126828</v>
      </c>
      <c r="AF6" s="10">
        <f t="shared" si="8"/>
        <v>-204.54590922623447</v>
      </c>
      <c r="AG6" s="10">
        <f t="shared" si="21"/>
        <v>1277.7451874067719</v>
      </c>
      <c r="AH6" s="10">
        <f t="shared" si="22"/>
        <v>1139.6534470863432</v>
      </c>
      <c r="AI6">
        <f t="shared" si="9"/>
        <v>874.35817237441825</v>
      </c>
      <c r="AJ6">
        <f t="shared" si="10"/>
        <v>437.17908618720912</v>
      </c>
      <c r="AK6" s="10">
        <f t="shared" si="11"/>
        <v>1521.3832199314875</v>
      </c>
      <c r="AL6" s="4">
        <f t="shared" si="23"/>
        <v>0.30864197530864201</v>
      </c>
      <c r="AM6">
        <f t="shared" si="12"/>
        <v>874.35817237441825</v>
      </c>
      <c r="AN6" s="10">
        <f t="shared" si="24"/>
        <v>-840.56610121956282</v>
      </c>
      <c r="AO6" s="10">
        <f t="shared" si="24"/>
        <v>381.72977284514423</v>
      </c>
      <c r="AP6" s="10">
        <f t="shared" si="25"/>
        <v>-458.8363283744186</v>
      </c>
      <c r="AQ6" s="9">
        <f t="shared" si="26"/>
        <v>1</v>
      </c>
      <c r="AR6" s="9">
        <f t="shared" si="27"/>
        <v>0</v>
      </c>
      <c r="AS6">
        <f t="shared" si="28"/>
        <v>415.52184399999999</v>
      </c>
      <c r="AT6">
        <f t="shared" si="29"/>
        <v>0</v>
      </c>
      <c r="AU6">
        <f t="shared" si="30"/>
        <v>0</v>
      </c>
      <c r="AV6">
        <f t="shared" si="31"/>
        <v>1</v>
      </c>
      <c r="AW6">
        <f t="shared" si="32"/>
        <v>0</v>
      </c>
      <c r="AX6">
        <f t="shared" si="33"/>
        <v>0</v>
      </c>
      <c r="AY6" s="3">
        <f t="shared" si="13"/>
        <v>0.06</v>
      </c>
      <c r="AZ6">
        <f t="shared" si="14"/>
        <v>3.2399999999999998E-2</v>
      </c>
      <c r="BA6" s="11">
        <f t="shared" si="34"/>
        <v>4.3799999999999999E-2</v>
      </c>
    </row>
    <row r="7" spans="1:53" x14ac:dyDescent="0.2">
      <c r="A7" t="s">
        <v>16</v>
      </c>
      <c r="B7" s="7">
        <v>2</v>
      </c>
      <c r="H7" s="10">
        <f t="shared" si="35"/>
        <v>3</v>
      </c>
      <c r="I7">
        <f t="shared" si="15"/>
        <v>250</v>
      </c>
      <c r="J7">
        <f t="shared" si="16"/>
        <v>0</v>
      </c>
      <c r="K7">
        <f t="shared" si="17"/>
        <v>-100</v>
      </c>
      <c r="L7" s="9">
        <f t="shared" si="0"/>
        <v>0.88899635867091487</v>
      </c>
      <c r="M7" s="11">
        <f t="shared" si="1"/>
        <v>0.88899635867091487</v>
      </c>
      <c r="N7" s="10">
        <f>SUMPRODUCT(I8:I$54, L8:L$54) / L7</f>
        <v>4468.3878745988513</v>
      </c>
      <c r="O7" s="10">
        <f>SUMPRODUCT(J8:J$54, M8:M$54) / M7</f>
        <v>3.1693846182493442E-4</v>
      </c>
      <c r="P7" s="10">
        <f>SUMPRODUCT(K8:K$54, M8:M$54) / M7</f>
        <v>-2104.2936116644742</v>
      </c>
      <c r="Q7" s="10" cm="1">
        <f t="array" ref="Q7">IF($H7 &gt;= $B$12 - 1, 0, SUMPRODUCT(I8:I$54*L8:L$54, $H8:$H$54 - $H7) / L7 /N7) / (1 + $B$10)</f>
        <v>12.731854045314069</v>
      </c>
      <c r="R7" s="10" cm="1">
        <f t="array" ref="R7">SUMPRODUCT(J8:J$54*L8:L$54, $H8:$H$54 - $H7) / L7 /O7 / (1 + $B$10)</f>
        <v>37.761622462389482</v>
      </c>
      <c r="S7" s="10" cm="1">
        <f t="array" ref="S7">SUMPRODUCT(K8:K$54*M8:M$54, $H8:$H$54 - $H7) / M7 /P7 / (1 + $B$10)</f>
        <v>16.501715940046228</v>
      </c>
      <c r="T7" s="10">
        <f t="shared" si="36"/>
        <v>0</v>
      </c>
      <c r="U7" s="10">
        <f t="shared" si="37"/>
        <v>150</v>
      </c>
      <c r="V7" s="10">
        <f t="shared" si="18"/>
        <v>2364.0945798728389</v>
      </c>
      <c r="W7">
        <f t="shared" si="38"/>
        <v>583.72170076719999</v>
      </c>
      <c r="X7" s="10">
        <f t="shared" si="19"/>
        <v>2947.8162806400387</v>
      </c>
      <c r="Y7" s="10">
        <f t="shared" si="2"/>
        <v>4468.3878745988513</v>
      </c>
      <c r="Z7">
        <f t="shared" si="3"/>
        <v>0</v>
      </c>
      <c r="AA7" s="10">
        <f t="shared" si="4"/>
        <v>3075.1817425537147</v>
      </c>
      <c r="AB7" s="10">
        <f t="shared" si="5"/>
        <v>1393.2061320451367</v>
      </c>
      <c r="AC7" s="10">
        <f t="shared" si="6"/>
        <v>6.4692489401316829E-4</v>
      </c>
      <c r="AD7" s="10">
        <f t="shared" si="7"/>
        <v>-3.2998643218823387E-4</v>
      </c>
      <c r="AE7">
        <f t="shared" si="20"/>
        <v>-1876.9975910346541</v>
      </c>
      <c r="AF7" s="10">
        <f t="shared" si="8"/>
        <v>-227.29602062982008</v>
      </c>
      <c r="AG7" s="10">
        <f t="shared" si="21"/>
        <v>1198.1847984439548</v>
      </c>
      <c r="AH7" s="10">
        <f t="shared" si="22"/>
        <v>1165.9097814288843</v>
      </c>
      <c r="AI7">
        <f t="shared" si="9"/>
        <v>909.81983970371573</v>
      </c>
      <c r="AJ7">
        <f t="shared" si="10"/>
        <v>454.90991985185786</v>
      </c>
      <c r="AK7" s="10">
        <f t="shared" si="11"/>
        <v>1583.0865210844649</v>
      </c>
      <c r="AL7" s="4">
        <f t="shared" si="23"/>
        <v>0.30864197530864201</v>
      </c>
      <c r="AM7">
        <f t="shared" si="12"/>
        <v>909.81983970371573</v>
      </c>
      <c r="AN7" s="10">
        <f t="shared" si="24"/>
        <v>-743.27487859209691</v>
      </c>
      <c r="AO7" s="10">
        <f t="shared" si="24"/>
        <v>417.1767396555806</v>
      </c>
      <c r="AP7" s="10">
        <f t="shared" si="25"/>
        <v>-326.09813893651631</v>
      </c>
      <c r="AQ7" s="9">
        <f t="shared" si="26"/>
        <v>1</v>
      </c>
      <c r="AR7" s="9">
        <f t="shared" si="27"/>
        <v>0</v>
      </c>
      <c r="AS7">
        <f t="shared" si="28"/>
        <v>583.72170076719999</v>
      </c>
      <c r="AT7">
        <f t="shared" si="29"/>
        <v>0</v>
      </c>
      <c r="AU7">
        <f t="shared" si="30"/>
        <v>0</v>
      </c>
      <c r="AV7">
        <f t="shared" si="31"/>
        <v>1</v>
      </c>
      <c r="AW7">
        <f t="shared" si="32"/>
        <v>0</v>
      </c>
      <c r="AX7">
        <f t="shared" si="33"/>
        <v>0</v>
      </c>
      <c r="AY7" s="3">
        <f t="shared" si="13"/>
        <v>0.06</v>
      </c>
      <c r="AZ7">
        <f t="shared" si="14"/>
        <v>3.2399999999999998E-2</v>
      </c>
      <c r="BA7" s="11">
        <f t="shared" si="34"/>
        <v>4.3799999999999999E-2</v>
      </c>
    </row>
    <row r="8" spans="1:53" x14ac:dyDescent="0.2">
      <c r="H8" s="10">
        <f t="shared" si="35"/>
        <v>4</v>
      </c>
      <c r="I8">
        <f t="shared" si="15"/>
        <v>250</v>
      </c>
      <c r="J8">
        <f t="shared" si="16"/>
        <v>0</v>
      </c>
      <c r="K8">
        <f t="shared" si="17"/>
        <v>-100</v>
      </c>
      <c r="L8" s="9">
        <f t="shared" si="0"/>
        <v>0.85480419102972571</v>
      </c>
      <c r="M8" s="11">
        <f t="shared" si="1"/>
        <v>0.85480419102972571</v>
      </c>
      <c r="N8" s="10">
        <f>SUMPRODUCT(I9:I$54, L9:L$54) / L8</f>
        <v>4397.1233895828054</v>
      </c>
      <c r="O8" s="10">
        <f>SUMPRODUCT(J9:J$54, M9:M$54) / M8</f>
        <v>3.2961600029793184E-4</v>
      </c>
      <c r="P8" s="10">
        <f>SUMPRODUCT(K9:K$54, M9:M$54) / M8</f>
        <v>-2088.4653561310538</v>
      </c>
      <c r="Q8" s="10" cm="1">
        <f t="array" ref="Q8">IF($H8 &gt;= $B$12 - 1, 0, SUMPRODUCT(I9:I$54*L9:L$54, $H9:$H$54 - $H8) / L8 /N8) / (1 + $B$10)</f>
        <v>12.439521024522429</v>
      </c>
      <c r="R8" s="10" cm="1">
        <f t="array" ref="R8">SUMPRODUCT(J9:J$54*L9:L$54, $H9:$H$54 - $H8) / L8 /O8 / (1 + $B$10)</f>
        <v>36.800084000851015</v>
      </c>
      <c r="S8" s="10" cm="1">
        <f t="array" ref="S8">SUMPRODUCT(K9:K$54*M9:M$54, $H9:$H$54 - $H8) / M8 /P8 / (1 + $B$10)</f>
        <v>16.284273014154877</v>
      </c>
      <c r="T8" s="10">
        <f t="shared" si="36"/>
        <v>0</v>
      </c>
      <c r="U8" s="10">
        <f t="shared" si="37"/>
        <v>150</v>
      </c>
      <c r="V8" s="10">
        <f t="shared" si="18"/>
        <v>2308.6583630677519</v>
      </c>
      <c r="W8">
        <f t="shared" si="38"/>
        <v>759.28871126080344</v>
      </c>
      <c r="X8" s="10">
        <f t="shared" si="19"/>
        <v>3067.9470743285556</v>
      </c>
      <c r="Y8" s="10">
        <f t="shared" si="2"/>
        <v>4397.1233895828054</v>
      </c>
      <c r="Z8">
        <f t="shared" si="3"/>
        <v>0</v>
      </c>
      <c r="AA8" s="10">
        <f t="shared" si="4"/>
        <v>2956.6545325478182</v>
      </c>
      <c r="AB8" s="10">
        <f t="shared" si="5"/>
        <v>1440.4688570349872</v>
      </c>
      <c r="AC8" s="10">
        <f t="shared" si="6"/>
        <v>6.5567008102640132E-4</v>
      </c>
      <c r="AD8" s="10">
        <f t="shared" si="7"/>
        <v>-3.2605408072846947E-4</v>
      </c>
      <c r="AE8">
        <f t="shared" si="20"/>
        <v>-1838.3318940455283</v>
      </c>
      <c r="AF8" s="10">
        <f t="shared" si="8"/>
        <v>-250.13346208552548</v>
      </c>
      <c r="AG8" s="10">
        <f t="shared" si="21"/>
        <v>1118.3232941723709</v>
      </c>
      <c r="AH8" s="10">
        <f t="shared" si="22"/>
        <v>1190.335068895381</v>
      </c>
      <c r="AI8">
        <f t="shared" si="9"/>
        <v>946.89724516313458</v>
      </c>
      <c r="AJ8">
        <f t="shared" si="10"/>
        <v>473.44862258156729</v>
      </c>
      <c r="AK8" s="10">
        <f t="shared" si="11"/>
        <v>1647.601206583854</v>
      </c>
      <c r="AL8" s="4">
        <f t="shared" si="23"/>
        <v>0.30864197530864196</v>
      </c>
      <c r="AM8">
        <f t="shared" si="12"/>
        <v>946.89724516313458</v>
      </c>
      <c r="AN8" s="10">
        <f t="shared" si="24"/>
        <v>-644.87467159080359</v>
      </c>
      <c r="AO8" s="10">
        <f t="shared" si="24"/>
        <v>457.26613768847301</v>
      </c>
      <c r="AP8" s="10">
        <f t="shared" si="25"/>
        <v>-187.60853390233058</v>
      </c>
      <c r="AQ8" s="9">
        <f t="shared" si="26"/>
        <v>1</v>
      </c>
      <c r="AR8" s="9">
        <f t="shared" si="27"/>
        <v>0</v>
      </c>
      <c r="AS8">
        <f t="shared" si="28"/>
        <v>759.28871126080344</v>
      </c>
      <c r="AT8">
        <f t="shared" si="29"/>
        <v>0</v>
      </c>
      <c r="AU8">
        <f t="shared" si="30"/>
        <v>0</v>
      </c>
      <c r="AV8">
        <f t="shared" si="31"/>
        <v>1</v>
      </c>
      <c r="AW8">
        <f t="shared" si="32"/>
        <v>0</v>
      </c>
      <c r="AX8">
        <f t="shared" si="33"/>
        <v>0</v>
      </c>
      <c r="AY8" s="3">
        <f t="shared" si="13"/>
        <v>0.06</v>
      </c>
      <c r="AZ8">
        <f t="shared" si="14"/>
        <v>3.2399999999999998E-2</v>
      </c>
      <c r="BA8" s="11">
        <f t="shared" si="34"/>
        <v>4.3799999999999999E-2</v>
      </c>
    </row>
    <row r="9" spans="1:53" x14ac:dyDescent="0.2">
      <c r="A9" t="s">
        <v>3</v>
      </c>
      <c r="B9" s="7">
        <v>0</v>
      </c>
      <c r="H9" s="10">
        <f t="shared" si="35"/>
        <v>5</v>
      </c>
      <c r="I9">
        <f t="shared" si="15"/>
        <v>250</v>
      </c>
      <c r="J9">
        <f t="shared" si="16"/>
        <v>0</v>
      </c>
      <c r="K9">
        <f t="shared" si="17"/>
        <v>-100</v>
      </c>
      <c r="L9" s="9">
        <f t="shared" si="0"/>
        <v>0.82192710675935154</v>
      </c>
      <c r="M9" s="11">
        <f t="shared" si="1"/>
        <v>0.82192710675935154</v>
      </c>
      <c r="N9" s="10">
        <f>SUMPRODUCT(I10:I$54, L10:L$54) / L9</f>
        <v>4323.008325166119</v>
      </c>
      <c r="O9" s="10">
        <f>SUMPRODUCT(J10:J$54, M10:M$54) / M9</f>
        <v>3.4280064030984913E-4</v>
      </c>
      <c r="P9" s="10">
        <f>SUMPRODUCT(K10:K$54, M10:M$54) / M9</f>
        <v>-2072.0039703762959</v>
      </c>
      <c r="Q9" s="10" cm="1">
        <f t="array" ref="Q9">IF($H9 &gt;= $B$12 - 1, 0, SUMPRODUCT(I10:I$54*L10:L$54, $H10:$H$54 - $H9) / L9 /N9) / (1 + $B$10)</f>
        <v>12.141755432455765</v>
      </c>
      <c r="R9" s="10" cm="1">
        <f t="array" ref="R9">SUMPRODUCT(J10:J$54*L10:L$54, $H10:$H$54 - $H9) / L9 /O9 / (1 + $B$10)</f>
        <v>35.838545539312555</v>
      </c>
      <c r="S9" s="10" cm="1">
        <f t="array" ref="S9">SUMPRODUCT(K10:K$54*M10:M$54, $H10:$H$54 - $H9) / M9 /P9 / (1 + $B$10)</f>
        <v>16.062247351418321</v>
      </c>
      <c r="T9" s="10">
        <f t="shared" si="36"/>
        <v>0</v>
      </c>
      <c r="U9" s="10">
        <f t="shared" si="37"/>
        <v>150</v>
      </c>
      <c r="V9" s="10">
        <f t="shared" si="18"/>
        <v>2251.0046975904634</v>
      </c>
      <c r="W9">
        <f t="shared" si="38"/>
        <v>942.54555681402667</v>
      </c>
      <c r="X9" s="10">
        <f t="shared" si="19"/>
        <v>3193.5502544044903</v>
      </c>
      <c r="Y9" s="10">
        <f t="shared" si="2"/>
        <v>4323.008325166119</v>
      </c>
      <c r="Z9">
        <f t="shared" si="3"/>
        <v>0</v>
      </c>
      <c r="AA9" s="10">
        <f t="shared" si="4"/>
        <v>2837.2383684668771</v>
      </c>
      <c r="AB9" s="10">
        <f t="shared" si="5"/>
        <v>1485.7699566992419</v>
      </c>
      <c r="AC9" s="10">
        <f t="shared" si="6"/>
        <v>6.6407980317027197E-4</v>
      </c>
      <c r="AD9" s="10">
        <f t="shared" si="7"/>
        <v>-3.2127916286042285E-4</v>
      </c>
      <c r="AE9">
        <f t="shared" si="20"/>
        <v>-1798.9751505570218</v>
      </c>
      <c r="AF9" s="10">
        <f t="shared" si="8"/>
        <v>-273.02881981927408</v>
      </c>
      <c r="AG9" s="10">
        <f t="shared" si="21"/>
        <v>1038.2638819896586</v>
      </c>
      <c r="AH9" s="10">
        <f t="shared" si="22"/>
        <v>1212.740815600805</v>
      </c>
      <c r="AI9">
        <f t="shared" si="9"/>
        <v>985.66365876681812</v>
      </c>
      <c r="AJ9">
        <f t="shared" si="10"/>
        <v>492.83182938340906</v>
      </c>
      <c r="AK9" s="10">
        <f t="shared" si="11"/>
        <v>1715.0547662542631</v>
      </c>
      <c r="AL9" s="4">
        <f t="shared" si="23"/>
        <v>0.30864197530864201</v>
      </c>
      <c r="AM9">
        <f t="shared" si="12"/>
        <v>985.66365876681812</v>
      </c>
      <c r="AN9" s="10">
        <f t="shared" si="24"/>
        <v>-545.4320526062495</v>
      </c>
      <c r="AO9" s="10">
        <f t="shared" si="24"/>
        <v>502.31395065345805</v>
      </c>
      <c r="AP9" s="10">
        <f t="shared" si="25"/>
        <v>-43.118101952791449</v>
      </c>
      <c r="AQ9" s="9">
        <f t="shared" si="26"/>
        <v>1</v>
      </c>
      <c r="AR9" s="9">
        <f t="shared" si="27"/>
        <v>0</v>
      </c>
      <c r="AS9">
        <f t="shared" si="28"/>
        <v>942.54555681402667</v>
      </c>
      <c r="AT9">
        <f t="shared" si="29"/>
        <v>0</v>
      </c>
      <c r="AU9">
        <f t="shared" si="30"/>
        <v>0</v>
      </c>
      <c r="AV9">
        <f t="shared" si="31"/>
        <v>1</v>
      </c>
      <c r="AW9">
        <f t="shared" si="32"/>
        <v>0</v>
      </c>
      <c r="AX9">
        <f t="shared" si="33"/>
        <v>0</v>
      </c>
      <c r="AY9" s="3">
        <f t="shared" si="13"/>
        <v>0.06</v>
      </c>
      <c r="AZ9">
        <f t="shared" si="14"/>
        <v>3.2399999999999998E-2</v>
      </c>
      <c r="BA9" s="11">
        <f t="shared" si="34"/>
        <v>4.3799999999999999E-2</v>
      </c>
    </row>
    <row r="10" spans="1:53" x14ac:dyDescent="0.2">
      <c r="A10" t="s">
        <v>4</v>
      </c>
      <c r="B10" s="6">
        <v>0.04</v>
      </c>
      <c r="C10" t="s">
        <v>24</v>
      </c>
      <c r="H10" s="10">
        <f t="shared" si="35"/>
        <v>6</v>
      </c>
      <c r="I10">
        <f t="shared" si="15"/>
        <v>250</v>
      </c>
      <c r="J10">
        <f t="shared" si="16"/>
        <v>0</v>
      </c>
      <c r="K10">
        <f t="shared" si="17"/>
        <v>-100</v>
      </c>
      <c r="L10" s="9">
        <f t="shared" si="0"/>
        <v>0.79031452573014571</v>
      </c>
      <c r="M10" s="11">
        <f t="shared" si="1"/>
        <v>0.79031452573014571</v>
      </c>
      <c r="N10" s="10">
        <f>SUMPRODUCT(I11:I$54, L11:L$54) / L10</f>
        <v>4245.9286581727629</v>
      </c>
      <c r="O10" s="10">
        <f>SUMPRODUCT(J11:J$54, M11:M$54) / M10</f>
        <v>3.5651266592224309E-4</v>
      </c>
      <c r="P10" s="10">
        <f>SUMPRODUCT(K11:K$54, M11:M$54) / M10</f>
        <v>-2054.8841291913477</v>
      </c>
      <c r="Q10" s="10" cm="1">
        <f t="array" ref="Q10">IF($H10 &gt;= $B$12 - 1, 0, SUMPRODUCT(I11:I$54*L11:L$54, $H11:$H$54 - $H10) / L10 /N10) / (1 + $B$10)</f>
        <v>11.838507410477396</v>
      </c>
      <c r="R10" s="10" cm="1">
        <f t="array" ref="R10">SUMPRODUCT(J11:J$54*L11:L$54, $H11:$H$54 - $H10) / L10 /O10 / (1 + $B$10)</f>
        <v>34.877007077774074</v>
      </c>
      <c r="S10" s="10" cm="1">
        <f t="array" ref="S10">SUMPRODUCT(K11:K$54*M11:M$54, $H11:$H$54 - $H10) / M10 /P10 / (1 + $B$10)</f>
        <v>15.835578008549948</v>
      </c>
      <c r="T10" s="10">
        <f t="shared" si="36"/>
        <v>0</v>
      </c>
      <c r="U10" s="10">
        <f t="shared" si="37"/>
        <v>150</v>
      </c>
      <c r="V10" s="10">
        <f t="shared" si="18"/>
        <v>2191.0448854940814</v>
      </c>
      <c r="W10">
        <f t="shared" si="38"/>
        <v>1133.8290522024811</v>
      </c>
      <c r="X10" s="10">
        <f t="shared" si="19"/>
        <v>3324.8739376965623</v>
      </c>
      <c r="Y10" s="10">
        <f t="shared" si="2"/>
        <v>4245.9286581727629</v>
      </c>
      <c r="Z10">
        <f t="shared" si="3"/>
        <v>0</v>
      </c>
      <c r="AA10" s="10">
        <f t="shared" si="4"/>
        <v>2717.0517775208968</v>
      </c>
      <c r="AB10" s="10">
        <f t="shared" si="5"/>
        <v>1528.876880651866</v>
      </c>
      <c r="AC10" s="10">
        <f t="shared" si="6"/>
        <v>6.7211323095600953E-4</v>
      </c>
      <c r="AD10" s="10">
        <f t="shared" si="7"/>
        <v>-3.1560056503376644E-4</v>
      </c>
      <c r="AE10">
        <f t="shared" si="20"/>
        <v>-1758.9339419643684</v>
      </c>
      <c r="AF10" s="10">
        <f t="shared" si="8"/>
        <v>-295.95018722697932</v>
      </c>
      <c r="AG10" s="10">
        <f t="shared" si="21"/>
        <v>958.11850766975931</v>
      </c>
      <c r="AH10" s="10">
        <f t="shared" si="22"/>
        <v>1232.9263778243217</v>
      </c>
      <c r="AI10">
        <f t="shared" si="9"/>
        <v>1026.1956597828896</v>
      </c>
      <c r="AJ10">
        <f t="shared" si="10"/>
        <v>513.0978298914448</v>
      </c>
      <c r="AK10" s="10">
        <f t="shared" si="11"/>
        <v>1785.5804480222282</v>
      </c>
      <c r="AL10" s="4">
        <f t="shared" si="23"/>
        <v>0.30864197530864196</v>
      </c>
      <c r="AM10">
        <f t="shared" si="12"/>
        <v>1026.1956597828896</v>
      </c>
      <c r="AN10" s="10">
        <f t="shared" si="24"/>
        <v>-445.02067777831451</v>
      </c>
      <c r="AO10" s="10">
        <f t="shared" si="24"/>
        <v>552.65407019790655</v>
      </c>
      <c r="AP10" s="10">
        <f t="shared" si="25"/>
        <v>107.63339241959204</v>
      </c>
      <c r="AQ10" s="9">
        <f t="shared" si="26"/>
        <v>0</v>
      </c>
      <c r="AR10" s="9">
        <f t="shared" si="27"/>
        <v>1</v>
      </c>
      <c r="AS10">
        <f t="shared" si="28"/>
        <v>1026.1956597828896</v>
      </c>
      <c r="AT10">
        <f t="shared" si="29"/>
        <v>0</v>
      </c>
      <c r="AU10">
        <f t="shared" si="30"/>
        <v>107.63339241959147</v>
      </c>
      <c r="AV10">
        <f t="shared" si="31"/>
        <v>0.90507088153146908</v>
      </c>
      <c r="AW10">
        <f t="shared" si="32"/>
        <v>0</v>
      </c>
      <c r="AX10">
        <f t="shared" si="33"/>
        <v>9.4929118468530929E-2</v>
      </c>
      <c r="AY10" s="3">
        <f t="shared" si="13"/>
        <v>5.8101417630629384E-2</v>
      </c>
      <c r="AZ10">
        <f t="shared" si="14"/>
        <v>2.6540566939315276E-2</v>
      </c>
      <c r="BA10" s="11">
        <f t="shared" si="34"/>
        <v>4.4831134160971745E-2</v>
      </c>
    </row>
    <row r="11" spans="1:53" x14ac:dyDescent="0.2">
      <c r="A11" t="s">
        <v>20</v>
      </c>
      <c r="B11" s="8">
        <v>0</v>
      </c>
      <c r="H11" s="10">
        <f t="shared" si="35"/>
        <v>7</v>
      </c>
      <c r="I11">
        <f t="shared" si="15"/>
        <v>250</v>
      </c>
      <c r="J11">
        <f t="shared" si="16"/>
        <v>0</v>
      </c>
      <c r="K11">
        <f t="shared" si="17"/>
        <v>-100</v>
      </c>
      <c r="L11" s="9">
        <f t="shared" si="0"/>
        <v>0.75991781320206331</v>
      </c>
      <c r="M11" s="11">
        <f t="shared" si="1"/>
        <v>0.75991781320206331</v>
      </c>
      <c r="N11" s="10">
        <f>SUMPRODUCT(I12:I$54, L12:L$54) / L11</f>
        <v>4165.7658044996733</v>
      </c>
      <c r="O11" s="10">
        <f>SUMPRODUCT(J12:J$54, M12:M$54) / M11</f>
        <v>3.7077317255913275E-4</v>
      </c>
      <c r="P11" s="10">
        <f>SUMPRODUCT(K12:K$54, M12:M$54) / M11</f>
        <v>-2037.0794943590013</v>
      </c>
      <c r="Q11" s="10" cm="1">
        <f t="array" ref="Q11">IF($H11 &gt;= $B$12 - 1, 0, SUMPRODUCT(I12:I$54*L12:L$54, $H12:$H$54 - $H11) / L11 /N11) / (1 + $B$10)</f>
        <v>11.529728216946154</v>
      </c>
      <c r="R11" s="10" cm="1">
        <f t="array" ref="R11">SUMPRODUCT(J12:J$54*L12:L$54, $H12:$H$54 - $H11) / L11 /O11 / (1 + $B$10)</f>
        <v>33.915468616235636</v>
      </c>
      <c r="S11" s="10" cm="1">
        <f t="array" ref="S11">SUMPRODUCT(K12:K$54*M12:M$54, $H12:$H$54 - $H11) / M11 /P11 / (1 + $B$10)</f>
        <v>15.604204451631066</v>
      </c>
      <c r="T11" s="10">
        <f t="shared" si="36"/>
        <v>0</v>
      </c>
      <c r="U11" s="10">
        <f t="shared" si="37"/>
        <v>150</v>
      </c>
      <c r="V11" s="10">
        <f t="shared" si="18"/>
        <v>2128.6866809138442</v>
      </c>
      <c r="W11">
        <f t="shared" si="38"/>
        <v>1334.659894557378</v>
      </c>
      <c r="X11" s="10">
        <f t="shared" si="19"/>
        <v>3463.3465754712224</v>
      </c>
      <c r="Y11" s="10">
        <f t="shared" si="2"/>
        <v>4165.7658044996733</v>
      </c>
      <c r="Z11">
        <f t="shared" si="3"/>
        <v>0</v>
      </c>
      <c r="AA11" s="10">
        <f t="shared" si="4"/>
        <v>2596.224191423204</v>
      </c>
      <c r="AB11" s="10">
        <f t="shared" si="5"/>
        <v>1569.5416130764693</v>
      </c>
      <c r="AC11" s="10">
        <f t="shared" si="6"/>
        <v>6.7972680527953442E-4</v>
      </c>
      <c r="AD11" s="10">
        <f t="shared" si="7"/>
        <v>-3.0895363272040167E-4</v>
      </c>
      <c r="AE11">
        <f t="shared" si="20"/>
        <v>-1718.2164818488156</v>
      </c>
      <c r="AF11" s="10">
        <f t="shared" si="8"/>
        <v>-318.86301251018563</v>
      </c>
      <c r="AG11" s="10">
        <f t="shared" si="21"/>
        <v>878.00838930119357</v>
      </c>
      <c r="AH11" s="10">
        <f t="shared" si="22"/>
        <v>1250.6782916126508</v>
      </c>
      <c r="AI11">
        <f t="shared" si="9"/>
        <v>1068.9341282318589</v>
      </c>
      <c r="AJ11">
        <f t="shared" si="10"/>
        <v>534.46706411592947</v>
      </c>
      <c r="AK11" s="10">
        <f t="shared" si="11"/>
        <v>1859.9453831234337</v>
      </c>
      <c r="AL11" s="4">
        <f t="shared" si="23"/>
        <v>0.30864197530864207</v>
      </c>
      <c r="AM11">
        <f t="shared" si="12"/>
        <v>1068.9341282318589</v>
      </c>
      <c r="AN11" s="10">
        <f t="shared" si="24"/>
        <v>-343.5413251852641</v>
      </c>
      <c r="AO11" s="10">
        <f t="shared" si="24"/>
        <v>609.26709151078285</v>
      </c>
      <c r="AP11" s="10">
        <f t="shared" si="25"/>
        <v>265.72576632551875</v>
      </c>
      <c r="AQ11" s="9">
        <f t="shared" si="26"/>
        <v>0</v>
      </c>
      <c r="AR11" s="9">
        <f t="shared" si="27"/>
        <v>1</v>
      </c>
      <c r="AS11">
        <f t="shared" si="28"/>
        <v>1068.9341282318589</v>
      </c>
      <c r="AT11">
        <f t="shared" si="29"/>
        <v>0</v>
      </c>
      <c r="AU11">
        <f t="shared" si="30"/>
        <v>265.72576632551909</v>
      </c>
      <c r="AV11">
        <f t="shared" si="31"/>
        <v>0.80090376026947041</v>
      </c>
      <c r="AW11">
        <f t="shared" si="32"/>
        <v>0</v>
      </c>
      <c r="AX11">
        <f t="shared" si="33"/>
        <v>0.19909623973052959</v>
      </c>
      <c r="AY11" s="3">
        <f t="shared" si="13"/>
        <v>5.6018075205389414E-2</v>
      </c>
      <c r="AZ11">
        <f t="shared" si="14"/>
        <v>2.0782877396126387E-2</v>
      </c>
      <c r="BA11" s="11">
        <f t="shared" si="34"/>
        <v>4.5626636507326221E-2</v>
      </c>
    </row>
    <row r="12" spans="1:53" x14ac:dyDescent="0.2">
      <c r="A12" t="s">
        <v>21</v>
      </c>
      <c r="B12" s="8">
        <v>36</v>
      </c>
      <c r="H12" s="10">
        <f t="shared" si="35"/>
        <v>8</v>
      </c>
      <c r="I12">
        <f t="shared" si="15"/>
        <v>250</v>
      </c>
      <c r="J12">
        <f t="shared" si="16"/>
        <v>0</v>
      </c>
      <c r="K12">
        <f t="shared" si="17"/>
        <v>-100</v>
      </c>
      <c r="L12" s="9">
        <f t="shared" si="0"/>
        <v>0.73069020500198378</v>
      </c>
      <c r="M12" s="11">
        <f t="shared" si="1"/>
        <v>0.73069020500198378</v>
      </c>
      <c r="N12" s="10">
        <f>SUMPRODUCT(I13:I$54, L13:L$54) / L12</f>
        <v>4082.3964366796613</v>
      </c>
      <c r="O12" s="10">
        <f>SUMPRODUCT(J13:J$54, M13:M$54) / M12</f>
        <v>3.8560409946149818E-4</v>
      </c>
      <c r="P12" s="10">
        <f>SUMPRODUCT(K13:K$54, M13:M$54) / M12</f>
        <v>-2018.562674133362</v>
      </c>
      <c r="Q12" s="10" cm="1">
        <f t="array" ref="Q12">IF($H12 &gt;= $B$12 - 1, 0, SUMPRODUCT(I13:I$54*L13:L$54, $H13:$H$54 - $H12) / L12 /N12) / (1 + $B$10)</f>
        <v>11.215370272986426</v>
      </c>
      <c r="R12" s="10" cm="1">
        <f t="array" ref="R12">SUMPRODUCT(J13:J$54*L13:L$54, $H13:$H$54 - $H12) / L12 /O12 / (1 + $B$10)</f>
        <v>32.953930154697161</v>
      </c>
      <c r="S12" s="10" cm="1">
        <f t="array" ref="S12">SUMPRODUCT(K13:K$54*M13:M$54, $H13:$H$54 - $H12) / M12 /P12 / (1 + $B$10)</f>
        <v>15.368066602009661</v>
      </c>
      <c r="T12" s="10">
        <f t="shared" si="36"/>
        <v>0</v>
      </c>
      <c r="U12" s="10">
        <f t="shared" si="37"/>
        <v>150</v>
      </c>
      <c r="V12" s="10">
        <f t="shared" si="18"/>
        <v>2063.8341481503985</v>
      </c>
      <c r="W12">
        <f t="shared" si="38"/>
        <v>1545.5559364272538</v>
      </c>
      <c r="X12" s="10">
        <f t="shared" si="19"/>
        <v>3609.3900845776525</v>
      </c>
      <c r="Y12" s="10">
        <f t="shared" si="2"/>
        <v>4082.3964366796613</v>
      </c>
      <c r="Z12">
        <f t="shared" si="3"/>
        <v>0</v>
      </c>
      <c r="AA12" s="10">
        <f t="shared" si="4"/>
        <v>2474.8966291071774</v>
      </c>
      <c r="AB12" s="10">
        <f t="shared" si="5"/>
        <v>1607.4998075724839</v>
      </c>
      <c r="AC12" s="10">
        <f t="shared" si="6"/>
        <v>6.868740843794112E-4</v>
      </c>
      <c r="AD12" s="10">
        <f t="shared" si="7"/>
        <v>-3.0126998491791302E-4</v>
      </c>
      <c r="AE12">
        <f t="shared" si="20"/>
        <v>-1676.8327360222827</v>
      </c>
      <c r="AF12" s="10">
        <f t="shared" si="8"/>
        <v>-341.72993811107926</v>
      </c>
      <c r="AG12" s="10">
        <f t="shared" si="21"/>
        <v>798.06457995897904</v>
      </c>
      <c r="AH12" s="10">
        <f t="shared" si="22"/>
        <v>1265.7695681914197</v>
      </c>
      <c r="AI12">
        <f t="shared" si="9"/>
        <v>1114.0092853634731</v>
      </c>
      <c r="AJ12">
        <f t="shared" si="10"/>
        <v>557.00464268173653</v>
      </c>
      <c r="AK12" s="10">
        <f t="shared" si="11"/>
        <v>1938.3761565324426</v>
      </c>
      <c r="AL12" s="4">
        <f t="shared" si="23"/>
        <v>0.30864197530864201</v>
      </c>
      <c r="AM12">
        <f t="shared" si="12"/>
        <v>1114.0092853634731</v>
      </c>
      <c r="AN12" s="10">
        <f t="shared" si="24"/>
        <v>-241.05993727724251</v>
      </c>
      <c r="AO12" s="10">
        <f t="shared" si="24"/>
        <v>672.60658834102287</v>
      </c>
      <c r="AP12" s="10">
        <f t="shared" si="25"/>
        <v>431.54665106378036</v>
      </c>
      <c r="AQ12" s="9">
        <f t="shared" si="26"/>
        <v>0</v>
      </c>
      <c r="AR12" s="9">
        <f t="shared" si="27"/>
        <v>1</v>
      </c>
      <c r="AS12">
        <f t="shared" si="28"/>
        <v>1114.0092853634731</v>
      </c>
      <c r="AT12">
        <f t="shared" si="29"/>
        <v>0</v>
      </c>
      <c r="AU12">
        <f t="shared" si="30"/>
        <v>431.5466510637807</v>
      </c>
      <c r="AV12">
        <f t="shared" si="31"/>
        <v>0.72078225000296336</v>
      </c>
      <c r="AW12">
        <f t="shared" si="32"/>
        <v>0</v>
      </c>
      <c r="AX12">
        <f t="shared" si="33"/>
        <v>0.27921774999703658</v>
      </c>
      <c r="AY12" s="3">
        <f t="shared" si="13"/>
        <v>5.4415645000059271E-2</v>
      </c>
      <c r="AZ12">
        <f t="shared" si="14"/>
        <v>1.6832676482186431E-2</v>
      </c>
      <c r="BA12" s="11">
        <f t="shared" si="34"/>
        <v>4.5999306758966053E-2</v>
      </c>
    </row>
    <row r="13" spans="1:53" x14ac:dyDescent="0.2">
      <c r="H13" s="10">
        <f t="shared" si="35"/>
        <v>9</v>
      </c>
      <c r="I13">
        <f t="shared" si="15"/>
        <v>250</v>
      </c>
      <c r="J13">
        <f t="shared" si="16"/>
        <v>0</v>
      </c>
      <c r="K13">
        <f t="shared" si="17"/>
        <v>-100</v>
      </c>
      <c r="L13" s="9">
        <f t="shared" si="0"/>
        <v>0.70258673557883045</v>
      </c>
      <c r="M13" s="11">
        <f t="shared" si="1"/>
        <v>0.70258673557883045</v>
      </c>
      <c r="N13" s="10">
        <f>SUMPRODUCT(I14:I$54, L14:L$54) / L13</f>
        <v>3995.6922941468474</v>
      </c>
      <c r="O13" s="10">
        <f>SUMPRODUCT(J14:J$54, M14:M$54) / M13</f>
        <v>4.0102826343995816E-4</v>
      </c>
      <c r="P13" s="10">
        <f>SUMPRODUCT(K14:K$54, M14:M$54) / M13</f>
        <v>-1999.3051810986972</v>
      </c>
      <c r="Q13" s="10" cm="1">
        <f t="array" ref="Q13">IF($H13 &gt;= $B$12 - 1, 0, SUMPRODUCT(I14:I$54*L14:L$54, $H14:$H$54 - $H13) / L13 /N13) / (1 + $B$10)</f>
        <v>10.895387207647298</v>
      </c>
      <c r="R13" s="10" cm="1">
        <f t="array" ref="R13">SUMPRODUCT(J14:J$54*L14:L$54, $H14:$H$54 - $H13) / L13 /O13 / (1 + $B$10)</f>
        <v>31.992391693158702</v>
      </c>
      <c r="S13" s="10" cm="1">
        <f t="array" ref="S13">SUMPRODUCT(K14:K$54*M14:M$54, $H14:$H$54 - $H13) / M13 /P13 / (1 + $B$10)</f>
        <v>15.127104882664915</v>
      </c>
      <c r="T13" s="10">
        <f t="shared" si="36"/>
        <v>0</v>
      </c>
      <c r="U13" s="10">
        <f t="shared" si="37"/>
        <v>150</v>
      </c>
      <c r="V13" s="10">
        <f t="shared" si="18"/>
        <v>1996.3875140764135</v>
      </c>
      <c r="W13">
        <f t="shared" si="38"/>
        <v>1766.6504380601123</v>
      </c>
      <c r="X13" s="10">
        <f t="shared" si="19"/>
        <v>3763.0379521365257</v>
      </c>
      <c r="Y13" s="10">
        <f t="shared" si="2"/>
        <v>3995.6922941468474</v>
      </c>
      <c r="Z13">
        <f t="shared" si="3"/>
        <v>0</v>
      </c>
      <c r="AA13" s="10">
        <f t="shared" si="4"/>
        <v>2353.2224166131055</v>
      </c>
      <c r="AB13" s="10">
        <f t="shared" si="5"/>
        <v>1642.469877533742</v>
      </c>
      <c r="AC13" s="10">
        <f t="shared" si="6"/>
        <v>6.9350558291883123E-4</v>
      </c>
      <c r="AD13" s="10">
        <f t="shared" si="7"/>
        <v>-2.9247731947887307E-4</v>
      </c>
      <c r="AE13">
        <f t="shared" si="20"/>
        <v>-1634.7945495640738</v>
      </c>
      <c r="AF13" s="10">
        <f t="shared" si="8"/>
        <v>-364.51063153462337</v>
      </c>
      <c r="AG13" s="10">
        <f t="shared" si="21"/>
        <v>718.42856055461471</v>
      </c>
      <c r="AH13" s="10">
        <f t="shared" si="22"/>
        <v>1277.9589535217992</v>
      </c>
      <c r="AI13">
        <f t="shared" si="9"/>
        <v>1161.4314667088045</v>
      </c>
      <c r="AJ13">
        <f t="shared" si="10"/>
        <v>580.71573335440223</v>
      </c>
      <c r="AK13" s="10">
        <f t="shared" si="11"/>
        <v>2020.8907520733187</v>
      </c>
      <c r="AL13" s="4">
        <f t="shared" si="23"/>
        <v>0.30864197530864207</v>
      </c>
      <c r="AM13">
        <f t="shared" si="12"/>
        <v>1161.4314667088045</v>
      </c>
      <c r="AN13" s="10">
        <f t="shared" si="24"/>
        <v>-137.71282720021247</v>
      </c>
      <c r="AO13" s="10">
        <f t="shared" si="24"/>
        <v>742.93179855151948</v>
      </c>
      <c r="AP13" s="10">
        <f t="shared" si="25"/>
        <v>605.218971351307</v>
      </c>
      <c r="AQ13" s="9">
        <f t="shared" si="26"/>
        <v>0</v>
      </c>
      <c r="AR13" s="9">
        <f t="shared" si="27"/>
        <v>1</v>
      </c>
      <c r="AS13">
        <f t="shared" si="28"/>
        <v>1161.4314667088045</v>
      </c>
      <c r="AT13">
        <f t="shared" si="29"/>
        <v>0</v>
      </c>
      <c r="AU13">
        <f t="shared" si="30"/>
        <v>605.2189713513078</v>
      </c>
      <c r="AV13">
        <f t="shared" si="31"/>
        <v>0.65742007682296544</v>
      </c>
      <c r="AW13">
        <f t="shared" si="32"/>
        <v>0</v>
      </c>
      <c r="AX13">
        <f t="shared" si="33"/>
        <v>0.34257992317703462</v>
      </c>
      <c r="AY13" s="3">
        <f t="shared" si="13"/>
        <v>5.3148401536459312E-2</v>
      </c>
      <c r="AZ13">
        <f t="shared" si="14"/>
        <v>1.4003317500081205E-2</v>
      </c>
      <c r="BA13" s="11">
        <f t="shared" si="34"/>
        <v>4.6146742786418712E-2</v>
      </c>
    </row>
    <row r="14" spans="1:53" x14ac:dyDescent="0.2">
      <c r="A14" s="1" t="s">
        <v>5</v>
      </c>
      <c r="B14" t="s">
        <v>8</v>
      </c>
      <c r="C14" t="s">
        <v>9</v>
      </c>
      <c r="D14" t="s">
        <v>10</v>
      </c>
      <c r="H14" s="10">
        <f t="shared" si="35"/>
        <v>10</v>
      </c>
      <c r="I14">
        <f t="shared" si="15"/>
        <v>250</v>
      </c>
      <c r="J14">
        <f t="shared" si="16"/>
        <v>0</v>
      </c>
      <c r="K14">
        <f t="shared" si="17"/>
        <v>-100</v>
      </c>
      <c r="L14" s="9">
        <f t="shared" si="0"/>
        <v>0.67556416882579851</v>
      </c>
      <c r="M14" s="11">
        <f t="shared" si="1"/>
        <v>0.67556416882579851</v>
      </c>
      <c r="N14" s="10">
        <f>SUMPRODUCT(I15:I$54, L15:L$54) / L14</f>
        <v>3905.5199859127224</v>
      </c>
      <c r="O14" s="10">
        <f>SUMPRODUCT(J15:J$54, M15:M$54) / M14</f>
        <v>4.1706939397755647E-4</v>
      </c>
      <c r="P14" s="10">
        <f>SUMPRODUCT(K15:K$54, M15:M$54) / M14</f>
        <v>-1979.2773883426453</v>
      </c>
      <c r="Q14" s="10" cm="1">
        <f t="array" ref="Q14">IF($H14 &gt;= $B$12 - 1, 0, SUMPRODUCT(I15:I$54*L15:L$54, $H15:$H$54 - $H14) / L14 /N14) / (1 + $B$10)</f>
        <v>10.569733902371022</v>
      </c>
      <c r="R14" s="10" cm="1">
        <f t="array" ref="R14">SUMPRODUCT(J15:J$54*L15:L$54, $H15:$H$54 - $H14) / L14 /O14 / (1 + $B$10)</f>
        <v>31.030853231620242</v>
      </c>
      <c r="S14" s="10" cm="1">
        <f t="array" ref="S14">SUMPRODUCT(K15:K$54*M15:M$54, $H15:$H$54 - $H14) / M14 /P14 / (1 + $B$10)</f>
        <v>14.881260264978623</v>
      </c>
      <c r="T14" s="10">
        <f t="shared" si="36"/>
        <v>0</v>
      </c>
      <c r="U14" s="10">
        <f t="shared" si="37"/>
        <v>150</v>
      </c>
      <c r="V14" s="10">
        <f t="shared" si="18"/>
        <v>1926.2430146394713</v>
      </c>
      <c r="W14">
        <f t="shared" si="38"/>
        <v>1998.1756014187861</v>
      </c>
      <c r="X14" s="10">
        <f t="shared" si="19"/>
        <v>3924.4186160582576</v>
      </c>
      <c r="Y14" s="10">
        <f t="shared" si="2"/>
        <v>3905.5199859127224</v>
      </c>
      <c r="Z14">
        <f t="shared" si="3"/>
        <v>0</v>
      </c>
      <c r="AA14" s="10">
        <f t="shared" si="4"/>
        <v>2231.3679460264489</v>
      </c>
      <c r="AB14" s="10">
        <f t="shared" si="5"/>
        <v>1674.1520398862735</v>
      </c>
      <c r="AC14" s="10">
        <f t="shared" si="6"/>
        <v>6.9956860280639748E-4</v>
      </c>
      <c r="AD14" s="10">
        <f t="shared" si="7"/>
        <v>-2.8249920882884101E-4</v>
      </c>
      <c r="AE14">
        <f t="shared" si="20"/>
        <v>-1592.1157812169768</v>
      </c>
      <c r="AF14" s="10">
        <f t="shared" si="8"/>
        <v>-387.16160712566852</v>
      </c>
      <c r="AG14" s="10">
        <f t="shared" si="21"/>
        <v>639.25286437807472</v>
      </c>
      <c r="AH14" s="10">
        <f t="shared" si="22"/>
        <v>1286.9901502613961</v>
      </c>
      <c r="AI14">
        <f t="shared" si="9"/>
        <v>1211.2403135982279</v>
      </c>
      <c r="AJ14">
        <f t="shared" si="10"/>
        <v>605.62015679911394</v>
      </c>
      <c r="AK14" s="10">
        <f t="shared" si="11"/>
        <v>2107.5581456609161</v>
      </c>
      <c r="AL14" s="4">
        <f t="shared" si="23"/>
        <v>0.30864197530864201</v>
      </c>
      <c r="AM14">
        <f t="shared" si="12"/>
        <v>1211.2403135982279</v>
      </c>
      <c r="AN14" s="10">
        <f t="shared" si="24"/>
        <v>-33.632707578960776</v>
      </c>
      <c r="AO14" s="10">
        <f t="shared" si="24"/>
        <v>820.56799539951999</v>
      </c>
      <c r="AP14" s="10">
        <f t="shared" si="25"/>
        <v>786.93528782055921</v>
      </c>
      <c r="AQ14" s="9">
        <f t="shared" si="26"/>
        <v>0</v>
      </c>
      <c r="AR14" s="9">
        <f t="shared" si="27"/>
        <v>1</v>
      </c>
      <c r="AS14">
        <f t="shared" si="28"/>
        <v>1211.2403135982279</v>
      </c>
      <c r="AT14">
        <f t="shared" si="29"/>
        <v>0</v>
      </c>
      <c r="AU14">
        <f t="shared" si="30"/>
        <v>786.93528782055819</v>
      </c>
      <c r="AV14">
        <f t="shared" si="31"/>
        <v>0.60617310747774011</v>
      </c>
      <c r="AW14">
        <f t="shared" si="32"/>
        <v>0</v>
      </c>
      <c r="AX14">
        <f t="shared" si="33"/>
        <v>0.39382689252225983</v>
      </c>
      <c r="AY14" s="3">
        <f t="shared" si="13"/>
        <v>5.2123462149554801E-2</v>
      </c>
      <c r="AZ14">
        <f t="shared" si="14"/>
        <v>1.1905245093826724E-2</v>
      </c>
      <c r="BA14" s="11">
        <f t="shared" si="34"/>
        <v>4.6170839602641442E-2</v>
      </c>
    </row>
    <row r="15" spans="1:53" x14ac:dyDescent="0.2">
      <c r="A15" t="s">
        <v>6</v>
      </c>
      <c r="B15" s="15">
        <v>0.02</v>
      </c>
      <c r="C15" s="6">
        <v>0.18</v>
      </c>
      <c r="D15" s="7">
        <v>0</v>
      </c>
      <c r="H15" s="10">
        <f t="shared" si="35"/>
        <v>11</v>
      </c>
      <c r="I15">
        <f t="shared" si="15"/>
        <v>250</v>
      </c>
      <c r="J15">
        <f t="shared" si="16"/>
        <v>0</v>
      </c>
      <c r="K15">
        <f t="shared" si="17"/>
        <v>-100</v>
      </c>
      <c r="L15" s="9">
        <f t="shared" si="0"/>
        <v>0.6495809315632679</v>
      </c>
      <c r="M15" s="11">
        <f t="shared" si="1"/>
        <v>0.6495809315632679</v>
      </c>
      <c r="N15" s="10">
        <f>SUMPRODUCT(I16:I$54, L16:L$54) / L15</f>
        <v>3811.74078534923</v>
      </c>
      <c r="O15" s="10">
        <f>SUMPRODUCT(J16:J$54, M16:M$54) / M15</f>
        <v>4.3375216973665868E-4</v>
      </c>
      <c r="P15" s="10">
        <f>SUMPRODUCT(K16:K$54, M16:M$54) / M15</f>
        <v>-1958.4484838763506</v>
      </c>
      <c r="Q15" s="10" cm="1">
        <f t="array" ref="Q15">IF($H15 &gt;= $B$12 - 1, 0, SUMPRODUCT(I16:I$54*L16:L$54, $H16:$H$54 - $H15) / L15 /N15) / (1 + $B$10)</f>
        <v>10.238366534690947</v>
      </c>
      <c r="R15" s="10" cm="1">
        <f t="array" ref="R15">SUMPRODUCT(J16:J$54*L16:L$54, $H16:$H$54 - $H15) / L15 /O15 / (1 + $B$10)</f>
        <v>30.069314770081782</v>
      </c>
      <c r="S15" s="10" cm="1">
        <f t="array" ref="S15">SUMPRODUCT(K16:K$54*M16:M$54, $H16:$H$54 - $H15) / M15 /P15 / (1 + $B$10)</f>
        <v>14.630474315851865</v>
      </c>
      <c r="T15" s="10">
        <f t="shared" si="36"/>
        <v>0</v>
      </c>
      <c r="U15" s="10">
        <f t="shared" si="37"/>
        <v>150</v>
      </c>
      <c r="V15" s="10">
        <f t="shared" si="18"/>
        <v>1853.292735225049</v>
      </c>
      <c r="W15">
        <f t="shared" si="38"/>
        <v>2240.4330466098045</v>
      </c>
      <c r="X15" s="10">
        <f t="shared" si="19"/>
        <v>4093.7257818348535</v>
      </c>
      <c r="Y15" s="10">
        <f t="shared" si="2"/>
        <v>3811.74078534923</v>
      </c>
      <c r="Z15">
        <f t="shared" si="3"/>
        <v>0</v>
      </c>
      <c r="AA15" s="10">
        <f t="shared" si="4"/>
        <v>2109.5134754397918</v>
      </c>
      <c r="AB15" s="10">
        <f t="shared" si="5"/>
        <v>1702.2273099094382</v>
      </c>
      <c r="AC15" s="10">
        <f t="shared" si="6"/>
        <v>7.0500705535229892E-4</v>
      </c>
      <c r="AD15" s="10">
        <f t="shared" si="7"/>
        <v>-2.7125488561564025E-4</v>
      </c>
      <c r="AE15">
        <f t="shared" si="20"/>
        <v>-1548.8124455282148</v>
      </c>
      <c r="AF15" s="10">
        <f t="shared" si="8"/>
        <v>-409.6360383481358</v>
      </c>
      <c r="AG15" s="10">
        <f t="shared" si="21"/>
        <v>560.70173491863238</v>
      </c>
      <c r="AH15" s="10">
        <f t="shared" si="22"/>
        <v>1292.5910003064168</v>
      </c>
      <c r="AI15">
        <f t="shared" si="9"/>
        <v>1263.495611677424</v>
      </c>
      <c r="AJ15">
        <f t="shared" si="10"/>
        <v>631.747805838712</v>
      </c>
      <c r="AK15" s="10">
        <f t="shared" si="11"/>
        <v>2198.4823643187178</v>
      </c>
      <c r="AL15" s="4">
        <f t="shared" si="23"/>
        <v>0.30864197530864196</v>
      </c>
      <c r="AM15">
        <f t="shared" si="12"/>
        <v>1263.495611677424</v>
      </c>
      <c r="AN15" s="10">
        <f t="shared" si="24"/>
        <v>71.046070920079615</v>
      </c>
      <c r="AO15" s="10">
        <f t="shared" si="24"/>
        <v>905.89136401230098</v>
      </c>
      <c r="AP15" s="10">
        <f t="shared" si="25"/>
        <v>976.9374349323806</v>
      </c>
      <c r="AQ15" s="9">
        <f t="shared" si="26"/>
        <v>7.2723255737453765E-2</v>
      </c>
      <c r="AR15" s="9">
        <f t="shared" si="27"/>
        <v>0.92727674426254625</v>
      </c>
      <c r="AS15">
        <f t="shared" si="28"/>
        <v>1263.495611677424</v>
      </c>
      <c r="AT15">
        <f t="shared" si="29"/>
        <v>71.046070920079615</v>
      </c>
      <c r="AU15">
        <f t="shared" si="30"/>
        <v>905.89136401230087</v>
      </c>
      <c r="AV15">
        <f t="shared" si="31"/>
        <v>0.56395151535071752</v>
      </c>
      <c r="AW15">
        <f t="shared" si="32"/>
        <v>3.1710865463078955E-2</v>
      </c>
      <c r="AX15">
        <f t="shared" si="33"/>
        <v>0.40433761918620353</v>
      </c>
      <c r="AY15" s="3">
        <f t="shared" si="13"/>
        <v>5.1596138961645138E-2</v>
      </c>
      <c r="AZ15">
        <f t="shared" si="14"/>
        <v>1.0337119257215133E-2</v>
      </c>
      <c r="BA15" s="11">
        <f t="shared" si="34"/>
        <v>4.6427579333037573E-2</v>
      </c>
    </row>
    <row r="16" spans="1:53" x14ac:dyDescent="0.2">
      <c r="A16" t="s">
        <v>7</v>
      </c>
      <c r="B16" s="16">
        <v>0.01</v>
      </c>
      <c r="C16" s="6">
        <v>0.18</v>
      </c>
      <c r="H16" s="10">
        <f t="shared" si="35"/>
        <v>12</v>
      </c>
      <c r="I16">
        <f t="shared" si="15"/>
        <v>250</v>
      </c>
      <c r="J16">
        <f t="shared" si="16"/>
        <v>0</v>
      </c>
      <c r="K16">
        <f t="shared" si="17"/>
        <v>-100</v>
      </c>
      <c r="L16" s="9">
        <f t="shared" si="0"/>
        <v>0.62459704958006512</v>
      </c>
      <c r="M16" s="11">
        <f t="shared" si="1"/>
        <v>0.62459704958006512</v>
      </c>
      <c r="N16" s="10">
        <f>SUMPRODUCT(I17:I$54, L17:L$54) / L16</f>
        <v>3714.2104167632006</v>
      </c>
      <c r="O16" s="10">
        <f>SUMPRODUCT(J17:J$54, M17:M$54) / M16</f>
        <v>4.5110225652612515E-4</v>
      </c>
      <c r="P16" s="10">
        <f>SUMPRODUCT(K17:K$54, M17:M$54) / M16</f>
        <v>-1936.7864232314053</v>
      </c>
      <c r="Q16" s="10" cm="1">
        <f t="array" ref="Q16">IF($H16 &gt;= $B$12 - 1, 0, SUMPRODUCT(I17:I$54*L17:L$54, $H17:$H$54 - $H16) / L16 /N16) / (1 + $B$10)</f>
        <v>9.9012426210792608</v>
      </c>
      <c r="R16" s="10" cm="1">
        <f t="array" ref="R16">SUMPRODUCT(J17:J$54*L17:L$54, $H17:$H$54 - $H16) / L16 /O16 / (1 + $B$10)</f>
        <v>29.107776308543315</v>
      </c>
      <c r="S16" s="10" cm="1">
        <f t="array" ref="S16">SUMPRODUCT(K17:K$54*M17:M$54, $H17:$H$54 - $H16) / M16 /P16 / (1 + $B$10)</f>
        <v>14.37468924510328</v>
      </c>
      <c r="T16" s="10">
        <f t="shared" si="36"/>
        <v>0</v>
      </c>
      <c r="U16" s="10">
        <f t="shared" si="37"/>
        <v>150</v>
      </c>
      <c r="V16" s="10">
        <f t="shared" si="18"/>
        <v>1777.424444634052</v>
      </c>
      <c r="W16">
        <f t="shared" si="38"/>
        <v>2494.4509296216402</v>
      </c>
      <c r="X16" s="10">
        <f t="shared" si="19"/>
        <v>4271.8753742556919</v>
      </c>
      <c r="Y16" s="10">
        <f t="shared" si="2"/>
        <v>3714.2104167632006</v>
      </c>
      <c r="Z16">
        <f t="shared" si="3"/>
        <v>0</v>
      </c>
      <c r="AA16" s="10">
        <f t="shared" si="4"/>
        <v>1987.8539720060737</v>
      </c>
      <c r="AB16" s="10">
        <f t="shared" si="5"/>
        <v>1726.3564447571268</v>
      </c>
      <c r="AC16" s="10">
        <f t="shared" si="6"/>
        <v>7.097612743373824E-4</v>
      </c>
      <c r="AD16" s="10">
        <f t="shared" si="7"/>
        <v>-2.5865901781125725E-4</v>
      </c>
      <c r="AE16">
        <f t="shared" si="20"/>
        <v>-1504.9028631398126</v>
      </c>
      <c r="AF16" s="10">
        <f t="shared" si="8"/>
        <v>-431.8835600915927</v>
      </c>
      <c r="AG16" s="10">
        <f t="shared" si="21"/>
        <v>482.95181862753543</v>
      </c>
      <c r="AH16" s="10">
        <f t="shared" si="22"/>
        <v>1294.4726260065163</v>
      </c>
      <c r="AI16">
        <f t="shared" si="9"/>
        <v>1318.4800537826211</v>
      </c>
      <c r="AJ16">
        <f t="shared" si="10"/>
        <v>659.24002689131055</v>
      </c>
      <c r="AK16" s="10">
        <f t="shared" si="11"/>
        <v>2294.1552935817599</v>
      </c>
      <c r="AL16" s="4">
        <f t="shared" si="23"/>
        <v>0.30864197530864207</v>
      </c>
      <c r="AM16">
        <f t="shared" si="12"/>
        <v>1318.4800537826211</v>
      </c>
      <c r="AN16" s="10">
        <f t="shared" si="24"/>
        <v>176.28820826377512</v>
      </c>
      <c r="AO16" s="10">
        <f t="shared" si="24"/>
        <v>999.68266757524361</v>
      </c>
      <c r="AP16" s="10">
        <f t="shared" si="25"/>
        <v>1175.9708758390188</v>
      </c>
      <c r="AQ16" s="9">
        <f t="shared" si="26"/>
        <v>0.14990865155397573</v>
      </c>
      <c r="AR16" s="9">
        <f t="shared" si="27"/>
        <v>0.85009134844602419</v>
      </c>
      <c r="AS16">
        <f t="shared" si="28"/>
        <v>1318.4800537826211</v>
      </c>
      <c r="AT16">
        <f t="shared" si="29"/>
        <v>176.28820826377515</v>
      </c>
      <c r="AU16">
        <f t="shared" si="30"/>
        <v>999.68266757524395</v>
      </c>
      <c r="AV16">
        <f t="shared" si="31"/>
        <v>0.52856523979912839</v>
      </c>
      <c r="AW16">
        <f t="shared" si="32"/>
        <v>7.0672149197384557E-2</v>
      </c>
      <c r="AX16">
        <f t="shared" si="33"/>
        <v>0.40076261100348703</v>
      </c>
      <c r="AY16" s="3">
        <f t="shared" si="13"/>
        <v>5.1278026287956413E-2</v>
      </c>
      <c r="AZ16">
        <f t="shared" si="14"/>
        <v>9.2137747988332332E-3</v>
      </c>
      <c r="BA16" s="11">
        <f t="shared" si="34"/>
        <v>4.6671138888539798E-2</v>
      </c>
    </row>
    <row r="17" spans="1:53" x14ac:dyDescent="0.2">
      <c r="A17" t="s">
        <v>40</v>
      </c>
      <c r="B17" s="7">
        <v>18.5</v>
      </c>
      <c r="H17" s="10">
        <f t="shared" si="35"/>
        <v>13</v>
      </c>
      <c r="I17">
        <f t="shared" si="15"/>
        <v>250</v>
      </c>
      <c r="J17">
        <f t="shared" si="16"/>
        <v>0</v>
      </c>
      <c r="K17">
        <f t="shared" si="17"/>
        <v>-100</v>
      </c>
      <c r="L17" s="9">
        <f t="shared" si="0"/>
        <v>0.600574086134678</v>
      </c>
      <c r="M17" s="11">
        <f t="shared" si="1"/>
        <v>0.600574086134678</v>
      </c>
      <c r="N17" s="10">
        <f>SUMPRODUCT(I18:I$54, L18:L$54) / L17</f>
        <v>3612.7788334337283</v>
      </c>
      <c r="O17" s="10">
        <f>SUMPRODUCT(J18:J$54, M18:M$54) / M17</f>
        <v>4.6914634678717014E-4</v>
      </c>
      <c r="P17" s="10">
        <f>SUMPRODUCT(K18:K$54, M18:M$54) / M17</f>
        <v>-1914.2578801606614</v>
      </c>
      <c r="Q17" s="10" cm="1">
        <f t="array" ref="Q17">IF($H17 &gt;= $B$12 - 1, 0, SUMPRODUCT(I18:I$54*L18:L$54, $H18:$H$54 - $H17) / L17 /N17) / (1 + $B$10)</f>
        <v>9.5583210588656442</v>
      </c>
      <c r="R17" s="10" cm="1">
        <f t="array" ref="R17">SUMPRODUCT(J18:J$54*L18:L$54, $H18:$H$54 - $H17) / L17 /O17 / (1 + $B$10)</f>
        <v>28.146237847004855</v>
      </c>
      <c r="S17" s="10" cm="1">
        <f t="array" ref="S17">SUMPRODUCT(K18:K$54*M18:M$54, $H18:$H$54 - $H17) / M17 /P17 / (1 + $B$10)</f>
        <v>14.113847953083011</v>
      </c>
      <c r="T17" s="10">
        <f t="shared" si="36"/>
        <v>0</v>
      </c>
      <c r="U17" s="10">
        <f t="shared" si="37"/>
        <v>150</v>
      </c>
      <c r="V17" s="10">
        <f t="shared" si="18"/>
        <v>1698.5214224194137</v>
      </c>
      <c r="W17">
        <f t="shared" si="38"/>
        <v>2760.8697954086588</v>
      </c>
      <c r="X17" s="10">
        <f t="shared" si="19"/>
        <v>4459.3912178280725</v>
      </c>
      <c r="Y17" s="10">
        <f t="shared" si="2"/>
        <v>3612.7788334337283</v>
      </c>
      <c r="Z17">
        <f t="shared" si="3"/>
        <v>0</v>
      </c>
      <c r="AA17" s="10">
        <f t="shared" si="4"/>
        <v>1866.6000002504679</v>
      </c>
      <c r="AB17" s="10">
        <f t="shared" si="5"/>
        <v>1746.1788331832604</v>
      </c>
      <c r="AC17" s="10">
        <f t="shared" si="6"/>
        <v>7.1376781955270882E-4</v>
      </c>
      <c r="AD17" s="10">
        <f t="shared" si="7"/>
        <v>-2.4462147276553867E-4</v>
      </c>
      <c r="AE17">
        <f t="shared" si="20"/>
        <v>-1460.407819652896</v>
      </c>
      <c r="AF17" s="10">
        <f t="shared" si="8"/>
        <v>-453.85006050776542</v>
      </c>
      <c r="AG17" s="10">
        <f t="shared" si="21"/>
        <v>406.19289436539157</v>
      </c>
      <c r="AH17" s="10">
        <f t="shared" si="22"/>
        <v>1292.3285280540222</v>
      </c>
      <c r="AI17">
        <f t="shared" si="9"/>
        <v>1376.355314144467</v>
      </c>
      <c r="AJ17">
        <f t="shared" si="10"/>
        <v>688.1776570722335</v>
      </c>
      <c r="AK17" s="10">
        <f t="shared" si="11"/>
        <v>2394.8582466113717</v>
      </c>
      <c r="AL17" s="4">
        <f t="shared" si="23"/>
        <v>0.30864197530864207</v>
      </c>
      <c r="AM17">
        <f t="shared" si="12"/>
        <v>1376.355314144467</v>
      </c>
      <c r="AN17" s="10">
        <f t="shared" si="24"/>
        <v>281.98476270684193</v>
      </c>
      <c r="AO17" s="10">
        <f t="shared" si="24"/>
        <v>1102.5297185573495</v>
      </c>
      <c r="AP17" s="10">
        <f t="shared" si="25"/>
        <v>1384.5144812641915</v>
      </c>
      <c r="AQ17" s="9">
        <f t="shared" si="26"/>
        <v>0.20367050437014095</v>
      </c>
      <c r="AR17" s="9">
        <f t="shared" si="27"/>
        <v>0.796329495629859</v>
      </c>
      <c r="AS17">
        <f t="shared" si="28"/>
        <v>1376.355314144467</v>
      </c>
      <c r="AT17">
        <f t="shared" si="29"/>
        <v>281.98476270684193</v>
      </c>
      <c r="AU17">
        <f t="shared" si="30"/>
        <v>1102.52971855735</v>
      </c>
      <c r="AV17">
        <f t="shared" si="31"/>
        <v>0.49852235568419534</v>
      </c>
      <c r="AW17">
        <f t="shared" si="32"/>
        <v>0.10213620474815006</v>
      </c>
      <c r="AX17">
        <f t="shared" si="33"/>
        <v>0.39934143956765467</v>
      </c>
      <c r="AY17" s="3">
        <f t="shared" si="13"/>
        <v>5.0991809161165406E-2</v>
      </c>
      <c r="AZ17">
        <f t="shared" si="14"/>
        <v>8.3901855273677221E-3</v>
      </c>
      <c r="BA17" s="11">
        <f t="shared" si="34"/>
        <v>4.6796716397481543E-2</v>
      </c>
    </row>
    <row r="18" spans="1:53" x14ac:dyDescent="0.2">
      <c r="H18" s="10">
        <f t="shared" si="35"/>
        <v>14</v>
      </c>
      <c r="I18">
        <f t="shared" si="15"/>
        <v>250</v>
      </c>
      <c r="J18">
        <f t="shared" si="16"/>
        <v>0</v>
      </c>
      <c r="K18">
        <f t="shared" si="17"/>
        <v>-100</v>
      </c>
      <c r="L18" s="9">
        <f t="shared" si="0"/>
        <v>0.57747508282180582</v>
      </c>
      <c r="M18" s="11">
        <f t="shared" si="1"/>
        <v>0.57747508282180582</v>
      </c>
      <c r="N18" s="10">
        <f>SUMPRODUCT(I19:I$54, L19:L$54) / L18</f>
        <v>3507.2899867710771</v>
      </c>
      <c r="O18" s="10">
        <f>SUMPRODUCT(J19:J$54, M19:M$54) / M18</f>
        <v>4.8791220065865691E-4</v>
      </c>
      <c r="P18" s="10">
        <f>SUMPRODUCT(K19:K$54, M19:M$54) / M18</f>
        <v>-1890.828195367088</v>
      </c>
      <c r="Q18" s="10" cm="1">
        <f t="array" ref="Q18">IF($H18 &gt;= $B$12 - 1, 0, SUMPRODUCT(I19:I$54*L19:L$54, $H19:$H$54 - $H18) / L18 /N18) / (1 + $B$10)</f>
        <v>9.2095621671483876</v>
      </c>
      <c r="R18" s="10" cm="1">
        <f t="array" ref="R18">SUMPRODUCT(J19:J$54*L19:L$54, $H19:$H$54 - $H18) / L18 /O18 / (1 + $B$10)</f>
        <v>27.184699385466395</v>
      </c>
      <c r="S18" s="10" cm="1">
        <f t="array" ref="S18">SUMPRODUCT(K19:K$54*M19:M$54, $H19:$H$54 - $H18) / M18 /P18 / (1 + $B$10)</f>
        <v>13.847894078434589</v>
      </c>
      <c r="T18" s="10">
        <f t="shared" si="36"/>
        <v>0</v>
      </c>
      <c r="U18" s="10">
        <f t="shared" si="37"/>
        <v>150</v>
      </c>
      <c r="V18" s="10">
        <f t="shared" si="18"/>
        <v>1616.4622793161898</v>
      </c>
      <c r="W18">
        <f t="shared" si="38"/>
        <v>3040.0694362347708</v>
      </c>
      <c r="X18" s="10">
        <f t="shared" si="19"/>
        <v>4656.5317155509601</v>
      </c>
      <c r="Y18" s="10">
        <f t="shared" si="2"/>
        <v>3507.2899867710771</v>
      </c>
      <c r="Z18">
        <f t="shared" si="3"/>
        <v>0</v>
      </c>
      <c r="AA18" s="10">
        <f t="shared" si="4"/>
        <v>1745.9786579127181</v>
      </c>
      <c r="AB18" s="10">
        <f t="shared" si="5"/>
        <v>1761.311328858359</v>
      </c>
      <c r="AC18" s="10">
        <f t="shared" si="6"/>
        <v>7.1695927034632148E-4</v>
      </c>
      <c r="AD18" s="10">
        <f t="shared" si="7"/>
        <v>-2.2904706968766457E-4</v>
      </c>
      <c r="AE18">
        <f t="shared" si="20"/>
        <v>-1415.3507335114086</v>
      </c>
      <c r="AF18" s="10">
        <f t="shared" si="8"/>
        <v>-475.47746185567939</v>
      </c>
      <c r="AG18" s="10">
        <f t="shared" si="21"/>
        <v>330.62864136057988</v>
      </c>
      <c r="AH18" s="10">
        <f t="shared" si="22"/>
        <v>1285.8336379556099</v>
      </c>
      <c r="AI18">
        <f t="shared" si="9"/>
        <v>1437.2011467749878</v>
      </c>
      <c r="AJ18">
        <f t="shared" si="10"/>
        <v>718.60057338749391</v>
      </c>
      <c r="AK18" s="10">
        <f t="shared" si="11"/>
        <v>2500.7299953884781</v>
      </c>
      <c r="AL18" s="4">
        <f t="shared" si="23"/>
        <v>0.30864197530864201</v>
      </c>
      <c r="AM18">
        <f t="shared" si="12"/>
        <v>1437.2011467749878</v>
      </c>
      <c r="AN18" s="10">
        <f t="shared" si="24"/>
        <v>387.97193202691403</v>
      </c>
      <c r="AO18" s="10">
        <f t="shared" si="24"/>
        <v>1214.8963574328682</v>
      </c>
      <c r="AP18" s="10">
        <f t="shared" si="25"/>
        <v>1602.8682894597823</v>
      </c>
      <c r="AQ18" s="9">
        <f t="shared" si="26"/>
        <v>0.24204854171622106</v>
      </c>
      <c r="AR18" s="9">
        <f t="shared" si="27"/>
        <v>0.75795145828377886</v>
      </c>
      <c r="AS18">
        <f>MAX(MIN($W18,AM18), 0)</f>
        <v>1437.2011467749878</v>
      </c>
      <c r="AT18">
        <f>MIN(IF(AP18 &lt; 0, 0, AQ18 * AP18),W18)</f>
        <v>387.97193202691403</v>
      </c>
      <c r="AU18">
        <f>W18-AS18-AT18</f>
        <v>1214.8963574328691</v>
      </c>
      <c r="AV18">
        <f t="shared" si="31"/>
        <v>0.47275273704110199</v>
      </c>
      <c r="AW18">
        <f t="shared" si="32"/>
        <v>0.12761943112307014</v>
      </c>
      <c r="AX18">
        <f t="shared" si="33"/>
        <v>0.3996278318358279</v>
      </c>
      <c r="AY18" s="3">
        <f t="shared" si="13"/>
        <v>5.0731249052052743E-2</v>
      </c>
      <c r="AZ18">
        <f t="shared" si="14"/>
        <v>7.7689325743929508E-3</v>
      </c>
      <c r="BA18" s="11">
        <f t="shared" si="34"/>
        <v>4.6846782764856265E-2</v>
      </c>
    </row>
    <row r="19" spans="1:53" x14ac:dyDescent="0.2">
      <c r="H19" s="10">
        <f t="shared" si="35"/>
        <v>15</v>
      </c>
      <c r="I19">
        <f t="shared" si="15"/>
        <v>250</v>
      </c>
      <c r="J19">
        <f t="shared" si="16"/>
        <v>0</v>
      </c>
      <c r="K19">
        <f t="shared" si="17"/>
        <v>-100</v>
      </c>
      <c r="L19" s="9">
        <f t="shared" si="0"/>
        <v>0.55526450271327477</v>
      </c>
      <c r="M19" s="11">
        <f t="shared" si="1"/>
        <v>0.55526450271327477</v>
      </c>
      <c r="N19" s="10">
        <f>SUMPRODUCT(I20:I$54, L20:L$54) / L19</f>
        <v>3397.5815862419208</v>
      </c>
      <c r="O19" s="10">
        <f>SUMPRODUCT(J20:J$54, M20:M$54) / M19</f>
        <v>5.0742868868500321E-4</v>
      </c>
      <c r="P19" s="10">
        <f>SUMPRODUCT(K20:K$54, M20:M$54) / M19</f>
        <v>-1866.4613231817721</v>
      </c>
      <c r="Q19" s="10" cm="1">
        <f t="array" ref="Q19">IF($H19 &gt;= $B$12 - 1, 0, SUMPRODUCT(I20:I$54*L20:L$54, $H20:$H$54 - $H19) / L19 /N19) / (1 + $B$10)</f>
        <v>8.854927726620728</v>
      </c>
      <c r="R19" s="10" cm="1">
        <f t="array" ref="R19">SUMPRODUCT(J20:J$54*L20:L$54, $H20:$H$54 - $H19) / L19 /O19 / (1 + $B$10)</f>
        <v>26.223160923927939</v>
      </c>
      <c r="S19" s="10" cm="1">
        <f t="array" ref="S19">SUMPRODUCT(K20:K$54*M20:M$54, $H20:$H$54 - $H19) / M19 /P19 / (1 + $B$10)</f>
        <v>13.576772045934613</v>
      </c>
      <c r="T19" s="10">
        <f t="shared" si="36"/>
        <v>0</v>
      </c>
      <c r="U19" s="10">
        <f t="shared" si="37"/>
        <v>150</v>
      </c>
      <c r="V19" s="10">
        <f t="shared" si="18"/>
        <v>1531.1207704888375</v>
      </c>
      <c r="W19">
        <f t="shared" si="38"/>
        <v>3332.4869087041402</v>
      </c>
      <c r="X19" s="10">
        <f t="shared" si="19"/>
        <v>4863.6076791929772</v>
      </c>
      <c r="Y19" s="10">
        <f t="shared" si="2"/>
        <v>3397.5815862419208</v>
      </c>
      <c r="Z19">
        <f t="shared" si="3"/>
        <v>0</v>
      </c>
      <c r="AA19" s="10">
        <f t="shared" si="4"/>
        <v>1626.2345617010606</v>
      </c>
      <c r="AB19" s="10">
        <f t="shared" si="5"/>
        <v>1771.3470245408603</v>
      </c>
      <c r="AC19" s="10">
        <f t="shared" si="6"/>
        <v>7.1926400869213897E-4</v>
      </c>
      <c r="AD19" s="10">
        <f t="shared" si="7"/>
        <v>-2.1183532000713576E-4</v>
      </c>
      <c r="AE19">
        <f t="shared" si="20"/>
        <v>-1369.7578333725628</v>
      </c>
      <c r="AF19" s="10">
        <f t="shared" si="8"/>
        <v>-496.70348980920926</v>
      </c>
      <c r="AG19" s="10">
        <f t="shared" si="21"/>
        <v>256.47744759250645</v>
      </c>
      <c r="AH19" s="10">
        <f t="shared" si="22"/>
        <v>1274.643322896331</v>
      </c>
      <c r="AI19">
        <f t="shared" si="9"/>
        <v>1501.1134812324005</v>
      </c>
      <c r="AJ19">
        <f t="shared" si="10"/>
        <v>750.55674061620027</v>
      </c>
      <c r="AK19" s="10">
        <f t="shared" si="11"/>
        <v>2611.9374573443761</v>
      </c>
      <c r="AL19" s="4">
        <f t="shared" si="23"/>
        <v>0.30864197530864201</v>
      </c>
      <c r="AM19">
        <f t="shared" si="12"/>
        <v>1501.1134812324005</v>
      </c>
      <c r="AN19" s="10">
        <f t="shared" si="24"/>
        <v>494.07929302369382</v>
      </c>
      <c r="AO19" s="10">
        <f t="shared" si="24"/>
        <v>1337.294134448045</v>
      </c>
      <c r="AP19" s="10">
        <f t="shared" si="25"/>
        <v>1831.373427471739</v>
      </c>
      <c r="AQ19" s="9">
        <f t="shared" si="26"/>
        <v>0.26978620832441791</v>
      </c>
      <c r="AR19" s="9">
        <f t="shared" si="27"/>
        <v>0.73021379167558198</v>
      </c>
      <c r="AS19">
        <f t="shared" ref="AS19:AS54" si="39">MAX(MIN($W19,AM19), 0)</f>
        <v>1501.1134812324005</v>
      </c>
      <c r="AT19">
        <f t="shared" ref="AT19:AT54" si="40">MIN(IF(AP19 &lt; 0, 0, AQ19 * AP19),W19)</f>
        <v>494.07929302369382</v>
      </c>
      <c r="AU19">
        <f t="shared" ref="AU19:AU54" si="41">W19-AS19-AT19</f>
        <v>1337.294134448046</v>
      </c>
      <c r="AV19">
        <f t="shared" si="31"/>
        <v>0.45044842556219328</v>
      </c>
      <c r="AW19">
        <f t="shared" si="32"/>
        <v>0.14826143554628993</v>
      </c>
      <c r="AX19">
        <f t="shared" si="33"/>
        <v>0.40129013889151682</v>
      </c>
      <c r="AY19" s="3">
        <f t="shared" si="13"/>
        <v>5.0491582866706769E-2</v>
      </c>
      <c r="AZ19">
        <f t="shared" si="14"/>
        <v>7.2862816905192567E-3</v>
      </c>
      <c r="BA19" s="11">
        <f t="shared" si="34"/>
        <v>4.684844202144714E-2</v>
      </c>
    </row>
    <row r="20" spans="1:53" x14ac:dyDescent="0.2">
      <c r="A20" s="1" t="s">
        <v>11</v>
      </c>
      <c r="H20" s="10">
        <f t="shared" si="35"/>
        <v>16</v>
      </c>
      <c r="I20">
        <f t="shared" si="15"/>
        <v>250</v>
      </c>
      <c r="J20">
        <f t="shared" si="16"/>
        <v>0</v>
      </c>
      <c r="K20">
        <f t="shared" si="17"/>
        <v>-100</v>
      </c>
      <c r="L20" s="9">
        <f t="shared" si="0"/>
        <v>0.53390817568584104</v>
      </c>
      <c r="M20" s="11">
        <f t="shared" si="1"/>
        <v>0.53390817568584104</v>
      </c>
      <c r="N20" s="10">
        <f>SUMPRODUCT(I21:I$54, L21:L$54) / L20</f>
        <v>3283.4848496915979</v>
      </c>
      <c r="O20" s="10">
        <f>SUMPRODUCT(J21:J$54, M21:M$54) / M20</f>
        <v>5.2772583623240347E-4</v>
      </c>
      <c r="P20" s="10">
        <f>SUMPRODUCT(K21:K$54, M21:M$54) / M20</f>
        <v>-1841.1197761090432</v>
      </c>
      <c r="Q20" s="10" cm="1">
        <f t="array" ref="Q20">IF($H20 &gt;= $B$12 - 1, 0, SUMPRODUCT(I21:I$54*L21:L$54, $H21:$H$54 - $H20) / L20 /N20) / (1 + $B$10)</f>
        <v>8.4943810182362096</v>
      </c>
      <c r="R20" s="10" cm="1">
        <f t="array" ref="R20">SUMPRODUCT(J21:J$54*L21:L$54, $H21:$H$54 - $H20) / L20 /O20 / (1 + $B$10)</f>
        <v>25.261622462389468</v>
      </c>
      <c r="S20" s="10" cm="1">
        <f t="array" ref="S20">SUMPRODUCT(K21:K$54*M21:M$54, $H21:$H$54 - $H20) / M20 /P20 / (1 + $B$10)</f>
        <v>13.30042711433893</v>
      </c>
      <c r="T20" s="10">
        <f t="shared" si="36"/>
        <v>0</v>
      </c>
      <c r="U20" s="10">
        <f t="shared" si="37"/>
        <v>150</v>
      </c>
      <c r="V20" s="10">
        <f t="shared" si="18"/>
        <v>1442.3656013083908</v>
      </c>
      <c r="W20">
        <f t="shared" si="38"/>
        <v>3638.6087284337982</v>
      </c>
      <c r="X20" s="10">
        <f t="shared" si="19"/>
        <v>5080.9743297421892</v>
      </c>
      <c r="Y20" s="10">
        <f t="shared" si="2"/>
        <v>3283.4848496915979</v>
      </c>
      <c r="Z20">
        <f t="shared" si="3"/>
        <v>0</v>
      </c>
      <c r="AA20" s="10">
        <f t="shared" si="4"/>
        <v>1507.6308854533233</v>
      </c>
      <c r="AB20" s="10">
        <f t="shared" si="5"/>
        <v>1775.8539642382746</v>
      </c>
      <c r="AC20" s="10">
        <f t="shared" si="6"/>
        <v>7.2060599127306746E-4</v>
      </c>
      <c r="AD20" s="10">
        <f t="shared" si="7"/>
        <v>-1.9288015504066399E-4</v>
      </c>
      <c r="AE20">
        <f t="shared" si="20"/>
        <v>-1323.6583454543968</v>
      </c>
      <c r="AF20" s="10">
        <f t="shared" si="8"/>
        <v>-517.46143065464639</v>
      </c>
      <c r="AG20" s="10">
        <f t="shared" si="21"/>
        <v>183.97326060491787</v>
      </c>
      <c r="AH20" s="10">
        <f t="shared" si="22"/>
        <v>1258.3923407034731</v>
      </c>
      <c r="AI20">
        <f t="shared" si="9"/>
        <v>1568.2019536241326</v>
      </c>
      <c r="AJ20">
        <f t="shared" si="10"/>
        <v>784.10097681206628</v>
      </c>
      <c r="AK20" s="10">
        <f t="shared" si="11"/>
        <v>2728.6713993059907</v>
      </c>
      <c r="AL20" s="4">
        <f t="shared" si="23"/>
        <v>0.30864197530864196</v>
      </c>
      <c r="AM20">
        <f t="shared" si="12"/>
        <v>1568.2019536241326</v>
      </c>
      <c r="AN20" s="10">
        <f t="shared" si="24"/>
        <v>600.12771620714841</v>
      </c>
      <c r="AO20" s="10">
        <f t="shared" si="24"/>
        <v>1470.2790586025176</v>
      </c>
      <c r="AP20" s="10">
        <f t="shared" si="25"/>
        <v>2070.4067748096659</v>
      </c>
      <c r="AQ20" s="9">
        <f t="shared" si="26"/>
        <v>0.28985981088779939</v>
      </c>
      <c r="AR20" s="9">
        <f t="shared" si="27"/>
        <v>0.71014018911220067</v>
      </c>
      <c r="AS20">
        <f t="shared" si="39"/>
        <v>1568.2019536241326</v>
      </c>
      <c r="AT20">
        <f t="shared" si="40"/>
        <v>600.12771620714841</v>
      </c>
      <c r="AU20">
        <f t="shared" si="41"/>
        <v>1470.2790586025176</v>
      </c>
      <c r="AV20">
        <f t="shared" si="31"/>
        <v>0.43098944422615859</v>
      </c>
      <c r="AW20">
        <f t="shared" si="32"/>
        <v>0.16493329208976729</v>
      </c>
      <c r="AX20">
        <f t="shared" si="33"/>
        <v>0.4040772636840741</v>
      </c>
      <c r="AY20" s="3">
        <f t="shared" si="13"/>
        <v>5.0269121805420841E-2</v>
      </c>
      <c r="AZ20">
        <f t="shared" si="14"/>
        <v>6.8997384967157058E-3</v>
      </c>
      <c r="BA20" s="11">
        <f t="shared" si="34"/>
        <v>4.6819252557062985E-2</v>
      </c>
    </row>
    <row r="21" spans="1:53" x14ac:dyDescent="0.2">
      <c r="A21" t="s">
        <v>12</v>
      </c>
      <c r="B21" s="5">
        <f>B10 + B9 * B15</f>
        <v>0.04</v>
      </c>
      <c r="H21" s="10">
        <f t="shared" si="35"/>
        <v>17</v>
      </c>
      <c r="I21">
        <f t="shared" si="15"/>
        <v>250</v>
      </c>
      <c r="J21">
        <f t="shared" si="16"/>
        <v>0</v>
      </c>
      <c r="K21">
        <f t="shared" si="17"/>
        <v>-100</v>
      </c>
      <c r="L21" s="9">
        <f t="shared" si="0"/>
        <v>0.51337324585177024</v>
      </c>
      <c r="M21" s="11">
        <f t="shared" si="1"/>
        <v>0.51337324585177024</v>
      </c>
      <c r="N21" s="10">
        <f>SUMPRODUCT(I22:I$54, L22:L$54) / L21</f>
        <v>3164.8242436792621</v>
      </c>
      <c r="O21" s="10">
        <f>SUMPRODUCT(J22:J$54, M22:M$54) / M21</f>
        <v>5.4883486968169959E-4</v>
      </c>
      <c r="P21" s="10">
        <f>SUMPRODUCT(K22:K$54, M22:M$54) / M21</f>
        <v>-1814.7645671534049</v>
      </c>
      <c r="Q21" s="10" cm="1">
        <f t="array" ref="Q21">IF($H21 &gt;= $B$12 - 1, 0, SUMPRODUCT(I22:I$54*L22:L$54, $H22:$H$54 - $H21) / L21 /N21) / (1 + $B$10)</f>
        <v>8.1278868606383394</v>
      </c>
      <c r="R21" s="10" cm="1">
        <f t="array" ref="R21">SUMPRODUCT(J22:J$54*L22:L$54, $H22:$H$54 - $H21) / L21 /O21 / (1 + $B$10)</f>
        <v>24.300084000851008</v>
      </c>
      <c r="S21" s="10" cm="1">
        <f t="array" ref="S21">SUMPRODUCT(K22:K$54*M22:M$54, $H22:$H$54 - $H21) / M21 /P21 / (1 + $B$10)</f>
        <v>13.01880542416189</v>
      </c>
      <c r="T21" s="10">
        <f t="shared" si="36"/>
        <v>0</v>
      </c>
      <c r="U21" s="10">
        <f t="shared" si="37"/>
        <v>150</v>
      </c>
      <c r="V21" s="10">
        <f t="shared" si="18"/>
        <v>1350.0602253607269</v>
      </c>
      <c r="W21">
        <f t="shared" si="38"/>
        <v>3958.9656694466739</v>
      </c>
      <c r="X21" s="10">
        <f t="shared" si="19"/>
        <v>5309.0258948074006</v>
      </c>
      <c r="Y21" s="10">
        <f t="shared" si="2"/>
        <v>3164.8242436792621</v>
      </c>
      <c r="Z21">
        <f t="shared" si="3"/>
        <v>0</v>
      </c>
      <c r="AA21" s="10">
        <f t="shared" si="4"/>
        <v>1390.4504533205593</v>
      </c>
      <c r="AB21" s="10">
        <f t="shared" si="5"/>
        <v>1774.3737903587028</v>
      </c>
      <c r="AC21" s="10">
        <f t="shared" si="6"/>
        <v>7.20904510046563E-4</v>
      </c>
      <c r="AD21" s="10">
        <f t="shared" si="7"/>
        <v>-1.7206964036486341E-4</v>
      </c>
      <c r="AE21">
        <f t="shared" si="20"/>
        <v>-1277.0846913747866</v>
      </c>
      <c r="AF21" s="10">
        <f t="shared" si="8"/>
        <v>-537.67987577861823</v>
      </c>
      <c r="AG21" s="10">
        <f t="shared" si="21"/>
        <v>113.36648285028264</v>
      </c>
      <c r="AH21" s="10">
        <f t="shared" si="22"/>
        <v>1236.6937425104443</v>
      </c>
      <c r="AI21">
        <f t="shared" si="9"/>
        <v>1638.5882391380869</v>
      </c>
      <c r="AJ21">
        <f t="shared" si="10"/>
        <v>819.29411956904346</v>
      </c>
      <c r="AK21" s="10">
        <f t="shared" si="11"/>
        <v>2851.1435361002705</v>
      </c>
      <c r="AL21" s="4">
        <f t="shared" si="23"/>
        <v>0.30864197530864201</v>
      </c>
      <c r="AM21">
        <f t="shared" si="12"/>
        <v>1638.5882391380869</v>
      </c>
      <c r="AN21" s="10">
        <f t="shared" si="24"/>
        <v>705.92763671876082</v>
      </c>
      <c r="AO21" s="10">
        <f t="shared" si="24"/>
        <v>1614.4497935898262</v>
      </c>
      <c r="AP21" s="10">
        <f t="shared" si="25"/>
        <v>2320.377430308587</v>
      </c>
      <c r="AQ21" s="9">
        <f t="shared" si="26"/>
        <v>0.30422966001047491</v>
      </c>
      <c r="AR21" s="9">
        <f t="shared" si="27"/>
        <v>0.69577033998952509</v>
      </c>
      <c r="AS21">
        <f t="shared" si="39"/>
        <v>1638.5882391380869</v>
      </c>
      <c r="AT21">
        <f t="shared" si="40"/>
        <v>705.92763671876082</v>
      </c>
      <c r="AU21">
        <f t="shared" si="41"/>
        <v>1614.4497935898262</v>
      </c>
      <c r="AV21">
        <f t="shared" si="31"/>
        <v>0.41389301548732671</v>
      </c>
      <c r="AW21">
        <f t="shared" si="32"/>
        <v>0.17831112862805526</v>
      </c>
      <c r="AX21">
        <f t="shared" si="33"/>
        <v>0.40779585588461803</v>
      </c>
      <c r="AY21" s="3">
        <f t="shared" si="13"/>
        <v>5.0060971596027085E-2</v>
      </c>
      <c r="AZ21">
        <f t="shared" si="14"/>
        <v>6.5805140943224275E-3</v>
      </c>
      <c r="BA21" s="11">
        <f t="shared" si="34"/>
        <v>4.6770714548865874E-2</v>
      </c>
    </row>
    <row r="22" spans="1:53" x14ac:dyDescent="0.2">
      <c r="A22" t="s">
        <v>13</v>
      </c>
      <c r="B22" s="2">
        <f>B10</f>
        <v>0.04</v>
      </c>
      <c r="H22" s="10">
        <f t="shared" si="35"/>
        <v>18</v>
      </c>
      <c r="I22">
        <f t="shared" si="15"/>
        <v>250</v>
      </c>
      <c r="J22">
        <f t="shared" si="16"/>
        <v>0</v>
      </c>
      <c r="K22">
        <f t="shared" si="17"/>
        <v>-100</v>
      </c>
      <c r="L22" s="9">
        <f t="shared" si="0"/>
        <v>0.49362812101131748</v>
      </c>
      <c r="M22" s="11">
        <f t="shared" si="1"/>
        <v>0.49362812101131748</v>
      </c>
      <c r="N22" s="10">
        <f>SUMPRODUCT(I23:I$54, L23:L$54) / L22</f>
        <v>3041.4172134264327</v>
      </c>
      <c r="O22" s="10">
        <f>SUMPRODUCT(J23:J$54, M23:M$54) / M22</f>
        <v>5.7078826446896758E-4</v>
      </c>
      <c r="P22" s="10">
        <f>SUMPRODUCT(K23:K$54, M23:M$54) / M22</f>
        <v>-1787.3551498395411</v>
      </c>
      <c r="Q22" s="10" cm="1">
        <f t="array" ref="Q22">IF($H22 &gt;= $B$12 - 1, 0, SUMPRODUCT(I23:I$54*L23:L$54, $H23:$H$54 - $H22) / L22 /N22) / (1 + $B$10)</f>
        <v>7.7554116462814724</v>
      </c>
      <c r="R22" s="10" cm="1">
        <f t="array" ref="R22">SUMPRODUCT(J23:J$54*L23:L$54, $H23:$H$54 - $H22) / L22 /O22 / (1 + $B$10)</f>
        <v>23.338545539312545</v>
      </c>
      <c r="S22" s="10" cm="1">
        <f t="array" ref="S22">SUMPRODUCT(K23:K$54*M23:M$54, $H23:$H$54 - $H22) / M22 /P22 / (1 + $B$10)</f>
        <v>12.731854045314066</v>
      </c>
      <c r="T22" s="10">
        <f t="shared" si="36"/>
        <v>0</v>
      </c>
      <c r="U22" s="10">
        <f t="shared" si="37"/>
        <v>150</v>
      </c>
      <c r="V22" s="10">
        <f t="shared" si="18"/>
        <v>1254.0626343751562</v>
      </c>
      <c r="W22">
        <f t="shared" si="38"/>
        <v>4294.129322681124</v>
      </c>
      <c r="X22" s="10">
        <f t="shared" si="19"/>
        <v>5548.1919570562804</v>
      </c>
      <c r="Y22" s="10">
        <f t="shared" si="2"/>
        <v>3041.4172134264327</v>
      </c>
      <c r="Z22">
        <f t="shared" si="3"/>
        <v>0</v>
      </c>
      <c r="AA22" s="10">
        <f t="shared" si="4"/>
        <v>1274.9968907139621</v>
      </c>
      <c r="AB22" s="10">
        <f t="shared" si="5"/>
        <v>1766.4203227124706</v>
      </c>
      <c r="AC22" s="10">
        <f t="shared" si="6"/>
        <v>7.2007394073590129E-4</v>
      </c>
      <c r="AD22" s="10">
        <f t="shared" si="7"/>
        <v>-1.4928567626693371E-4</v>
      </c>
      <c r="AE22">
        <f t="shared" si="20"/>
        <v>-1230.0726970214857</v>
      </c>
      <c r="AF22" s="10">
        <f t="shared" si="8"/>
        <v>-557.28245281805539</v>
      </c>
      <c r="AG22" s="10">
        <f t="shared" si="21"/>
        <v>44.924913766417149</v>
      </c>
      <c r="AH22" s="10">
        <f t="shared" si="22"/>
        <v>1209.1377206087391</v>
      </c>
      <c r="AI22">
        <f t="shared" si="9"/>
        <v>1712.4049250173707</v>
      </c>
      <c r="AJ22">
        <f t="shared" si="10"/>
        <v>856.20246250868536</v>
      </c>
      <c r="AK22" s="10">
        <f t="shared" si="11"/>
        <v>2979.5845695302241</v>
      </c>
      <c r="AL22" s="4">
        <f t="shared" si="23"/>
        <v>0.30864197530864201</v>
      </c>
      <c r="AM22">
        <f t="shared" si="12"/>
        <v>1712.4049250173707</v>
      </c>
      <c r="AN22" s="10">
        <f t="shared" si="24"/>
        <v>811.27754874226821</v>
      </c>
      <c r="AO22" s="10">
        <f t="shared" si="24"/>
        <v>1770.4468489214851</v>
      </c>
      <c r="AP22" s="10">
        <f t="shared" si="25"/>
        <v>2581.7243976637533</v>
      </c>
      <c r="AQ22" s="9">
        <f t="shared" si="26"/>
        <v>0.31423863425406956</v>
      </c>
      <c r="AR22" s="9">
        <f t="shared" si="27"/>
        <v>0.68576136574593038</v>
      </c>
      <c r="AS22">
        <f t="shared" si="39"/>
        <v>1712.4049250173707</v>
      </c>
      <c r="AT22">
        <f t="shared" si="40"/>
        <v>811.27754874226821</v>
      </c>
      <c r="AU22">
        <f t="shared" si="41"/>
        <v>1770.4468489214851</v>
      </c>
      <c r="AV22">
        <f t="shared" si="31"/>
        <v>0.3987781448436204</v>
      </c>
      <c r="AW22">
        <f t="shared" si="32"/>
        <v>0.18892713464803876</v>
      </c>
      <c r="AX22">
        <f t="shared" si="33"/>
        <v>0.41229472050834087</v>
      </c>
      <c r="AY22" s="3">
        <f t="shared" si="13"/>
        <v>4.9864834243352793E-2</v>
      </c>
      <c r="AZ22">
        <f t="shared" si="14"/>
        <v>6.3088460607640994E-3</v>
      </c>
      <c r="BA22" s="11">
        <f t="shared" si="34"/>
        <v>4.6710411212970745E-2</v>
      </c>
    </row>
    <row r="23" spans="1:53" x14ac:dyDescent="0.2">
      <c r="H23" s="10">
        <f t="shared" si="35"/>
        <v>19</v>
      </c>
      <c r="I23">
        <f t="shared" si="15"/>
        <v>250</v>
      </c>
      <c r="J23">
        <f t="shared" si="16"/>
        <v>0</v>
      </c>
      <c r="K23">
        <f t="shared" si="17"/>
        <v>-100</v>
      </c>
      <c r="L23" s="9">
        <f t="shared" si="0"/>
        <v>0.47464242404934376</v>
      </c>
      <c r="M23" s="11">
        <f t="shared" si="1"/>
        <v>0.47464242404934376</v>
      </c>
      <c r="N23" s="10">
        <f>SUMPRODUCT(I24:I$54, L24:L$54) / L23</f>
        <v>2913.0739019634893</v>
      </c>
      <c r="O23" s="10">
        <f>SUMPRODUCT(J24:J$54, M24:M$54) / M23</f>
        <v>5.9361979504772631E-4</v>
      </c>
      <c r="P23" s="10">
        <f>SUMPRODUCT(K24:K$54, M24:M$54) / M23</f>
        <v>-1758.8493558331229</v>
      </c>
      <c r="Q23" s="10" cm="1">
        <f t="array" ref="Q23">IF($H23 &gt;= $B$12 - 1, 0, SUMPRODUCT(I24:I$54*L24:L$54, $H24:$H$54 - $H23) / L23 /N23) / (1 + $B$10)</f>
        <v>7.3769233761717095</v>
      </c>
      <c r="R23" s="10" cm="1">
        <f t="array" ref="R23">SUMPRODUCT(J24:J$54*L24:L$54, $H24:$H$54 - $H23) / L23 /O23 / (1 + $B$10)</f>
        <v>22.377007077774085</v>
      </c>
      <c r="S23" s="10" cm="1">
        <f t="array" ref="S23">SUMPRODUCT(K24:K$54*M24:M$54, $H24:$H$54 - $H23) / M23 /P23 / (1 + $B$10)</f>
        <v>12.439521024522424</v>
      </c>
      <c r="T23" s="10">
        <f t="shared" si="36"/>
        <v>0</v>
      </c>
      <c r="U23" s="10">
        <f t="shared" si="37"/>
        <v>150</v>
      </c>
      <c r="V23" s="10">
        <f t="shared" si="18"/>
        <v>1154.2251397501614</v>
      </c>
      <c r="W23">
        <f t="shared" si="38"/>
        <v>4644.7098691452347</v>
      </c>
      <c r="X23" s="10">
        <f t="shared" si="19"/>
        <v>5798.9350088953961</v>
      </c>
      <c r="Y23" s="10">
        <f t="shared" si="2"/>
        <v>2913.0739019634893</v>
      </c>
      <c r="Z23">
        <f t="shared" si="3"/>
        <v>0</v>
      </c>
      <c r="AA23" s="10">
        <f t="shared" si="4"/>
        <v>1161.5958358870378</v>
      </c>
      <c r="AB23" s="10">
        <f t="shared" si="5"/>
        <v>1751.4780660764516</v>
      </c>
      <c r="AC23" s="10">
        <f t="shared" si="6"/>
        <v>7.1802347866431211E-4</v>
      </c>
      <c r="AD23" s="10">
        <f t="shared" si="7"/>
        <v>-1.2440368361658579E-4</v>
      </c>
      <c r="AE23">
        <f t="shared" si="20"/>
        <v>-1182.6618130191273</v>
      </c>
      <c r="AF23" s="10">
        <f t="shared" si="8"/>
        <v>-576.18754281399561</v>
      </c>
      <c r="AG23" s="10">
        <f t="shared" si="21"/>
        <v>-21.065259108610917</v>
      </c>
      <c r="AH23" s="10">
        <f t="shared" si="22"/>
        <v>1175.2903988587723</v>
      </c>
      <c r="AI23">
        <f t="shared" si="9"/>
        <v>1789.7947558319127</v>
      </c>
      <c r="AJ23">
        <f t="shared" si="10"/>
        <v>894.89737791595633</v>
      </c>
      <c r="AK23" s="10">
        <f t="shared" si="11"/>
        <v>3114.2428751475268</v>
      </c>
      <c r="AL23" s="4">
        <f t="shared" si="23"/>
        <v>0.30864197530864201</v>
      </c>
      <c r="AM23">
        <f t="shared" si="12"/>
        <v>1789.7947558319127</v>
      </c>
      <c r="AN23" s="10">
        <f t="shared" si="24"/>
        <v>915.96263702456724</v>
      </c>
      <c r="AO23" s="10">
        <f t="shared" si="24"/>
        <v>1938.9524762887545</v>
      </c>
      <c r="AP23" s="10">
        <f t="shared" si="25"/>
        <v>2854.9151133133219</v>
      </c>
      <c r="AQ23" s="9">
        <f t="shared" si="26"/>
        <v>0.32083708294973812</v>
      </c>
      <c r="AR23" s="9">
        <f t="shared" si="27"/>
        <v>0.67916291705026188</v>
      </c>
      <c r="AS23">
        <f t="shared" si="39"/>
        <v>1789.7947558319127</v>
      </c>
      <c r="AT23">
        <f t="shared" si="40"/>
        <v>915.96263702456724</v>
      </c>
      <c r="AU23">
        <f t="shared" si="41"/>
        <v>1938.9524762887545</v>
      </c>
      <c r="AV23">
        <f t="shared" si="31"/>
        <v>0.38534048546745692</v>
      </c>
      <c r="AW23">
        <f t="shared" si="32"/>
        <v>0.19720556564992334</v>
      </c>
      <c r="AX23">
        <f t="shared" si="33"/>
        <v>0.41745394888261989</v>
      </c>
      <c r="AY23" s="3">
        <f t="shared" si="13"/>
        <v>4.9678865365848375E-2</v>
      </c>
      <c r="AZ23">
        <f t="shared" si="14"/>
        <v>6.0710253255806916E-3</v>
      </c>
      <c r="BA23" s="11">
        <f t="shared" si="34"/>
        <v>4.6643352703058027E-2</v>
      </c>
    </row>
    <row r="24" spans="1:53" x14ac:dyDescent="0.2">
      <c r="A24" t="s">
        <v>14</v>
      </c>
      <c r="H24" s="10">
        <f t="shared" si="35"/>
        <v>20</v>
      </c>
      <c r="I24">
        <f t="shared" si="15"/>
        <v>250</v>
      </c>
      <c r="J24">
        <f t="shared" si="16"/>
        <v>0</v>
      </c>
      <c r="K24">
        <f t="shared" si="17"/>
        <v>-100</v>
      </c>
      <c r="L24" s="9">
        <f t="shared" si="0"/>
        <v>0.45638694620129205</v>
      </c>
      <c r="M24" s="11">
        <f t="shared" si="1"/>
        <v>0.45638694620129205</v>
      </c>
      <c r="N24" s="10">
        <f>SUMPRODUCT(I25:I$54, L25:L$54) / L24</f>
        <v>2779.5968580420295</v>
      </c>
      <c r="O24" s="10">
        <f>SUMPRODUCT(J25:J$54, M25:M$54) / M24</f>
        <v>6.1736458684963542E-4</v>
      </c>
      <c r="P24" s="10">
        <f>SUMPRODUCT(K25:K$54, M25:M$54) / M24</f>
        <v>-1729.2033300664473</v>
      </c>
      <c r="Q24" s="10" cm="1">
        <f t="array" ref="Q24">IF($H24 &gt;= $B$12 - 1, 0, SUMPRODUCT(I25:I$54*L25:L$54, $H25:$H$54 - $H24) / L24 /N24) / (1 + $B$10)</f>
        <v>6.9923916931587025</v>
      </c>
      <c r="R24" s="10" cm="1">
        <f t="array" ref="R24">SUMPRODUCT(J25:J$54*L25:L$54, $H25:$H$54 - $H24) / L24 /O24 / (1 + $B$10)</f>
        <v>21.415468616235625</v>
      </c>
      <c r="S24" s="10" cm="1">
        <f t="array" ref="S24">SUMPRODUCT(K25:K$54*M25:M$54, $H25:$H$54 - $H24) / M24 /P24 / (1 + $B$10)</f>
        <v>12.141755432455762</v>
      </c>
      <c r="T24" s="10">
        <f t="shared" si="36"/>
        <v>0</v>
      </c>
      <c r="U24" s="10">
        <f t="shared" si="37"/>
        <v>150</v>
      </c>
      <c r="V24" s="10">
        <f t="shared" si="18"/>
        <v>1050.3941453401692</v>
      </c>
      <c r="W24">
        <f t="shared" si="38"/>
        <v>5011.3547097751507</v>
      </c>
      <c r="X24" s="10">
        <f t="shared" si="19"/>
        <v>6061.7488551153201</v>
      </c>
      <c r="Y24" s="10">
        <f t="shared" si="2"/>
        <v>2779.5968580420295</v>
      </c>
      <c r="Z24">
        <f t="shared" si="3"/>
        <v>0</v>
      </c>
      <c r="AA24" s="10">
        <f t="shared" si="4"/>
        <v>1050.5962151623307</v>
      </c>
      <c r="AB24" s="10">
        <f t="shared" si="5"/>
        <v>1729.0006428796987</v>
      </c>
      <c r="AC24" s="10">
        <f t="shared" si="6"/>
        <v>7.1465686132181838E-4</v>
      </c>
      <c r="AD24" s="10">
        <f t="shared" si="7"/>
        <v>-9.7292274472182954E-5</v>
      </c>
      <c r="AE24">
        <f t="shared" si="20"/>
        <v>-1134.8953473867502</v>
      </c>
      <c r="AF24" s="10">
        <f t="shared" si="8"/>
        <v>-594.30798267969703</v>
      </c>
      <c r="AG24" s="10">
        <f t="shared" si="21"/>
        <v>-84.29841756755809</v>
      </c>
      <c r="AH24" s="10">
        <f t="shared" si="22"/>
        <v>1134.6925629077273</v>
      </c>
      <c r="AI24">
        <f t="shared" si="9"/>
        <v>1870.9101404676917</v>
      </c>
      <c r="AJ24">
        <f t="shared" si="10"/>
        <v>935.45507023384584</v>
      </c>
      <c r="AK24" s="10">
        <f t="shared" si="11"/>
        <v>3255.3836444137833</v>
      </c>
      <c r="AL24" s="4">
        <f t="shared" si="23"/>
        <v>0.30864197530864196</v>
      </c>
      <c r="AM24">
        <f t="shared" si="12"/>
        <v>1870.9101404676917</v>
      </c>
      <c r="AN24" s="10">
        <f t="shared" si="24"/>
        <v>1019.7534878014039</v>
      </c>
      <c r="AO24" s="10">
        <f t="shared" si="24"/>
        <v>2120.691081506056</v>
      </c>
      <c r="AP24" s="10">
        <f t="shared" si="25"/>
        <v>3140.4445693074599</v>
      </c>
      <c r="AQ24" s="9">
        <f t="shared" si="26"/>
        <v>0.3247162830918181</v>
      </c>
      <c r="AR24" s="9">
        <f t="shared" si="27"/>
        <v>0.6752837169081819</v>
      </c>
      <c r="AS24">
        <f t="shared" si="39"/>
        <v>1870.9101404676917</v>
      </c>
      <c r="AT24">
        <f t="shared" si="40"/>
        <v>1019.7534878014039</v>
      </c>
      <c r="AU24">
        <f t="shared" si="41"/>
        <v>2120.6910815060551</v>
      </c>
      <c r="AV24">
        <f t="shared" si="31"/>
        <v>0.3733342077778477</v>
      </c>
      <c r="AW24">
        <f t="shared" si="32"/>
        <v>0.20348858679116694</v>
      </c>
      <c r="AX24">
        <f t="shared" si="33"/>
        <v>0.42317720543098536</v>
      </c>
      <c r="AY24" s="3">
        <f t="shared" si="13"/>
        <v>4.9501570023468625E-2</v>
      </c>
      <c r="AZ24">
        <f t="shared" si="14"/>
        <v>5.8574675551046939E-3</v>
      </c>
      <c r="BA24" s="11">
        <f t="shared" si="34"/>
        <v>4.657283624591628E-2</v>
      </c>
    </row>
    <row r="25" spans="1:53" x14ac:dyDescent="0.2">
      <c r="A25" t="s">
        <v>15</v>
      </c>
      <c r="B25" s="4">
        <f>B15/C15</f>
        <v>0.11111111111111112</v>
      </c>
      <c r="H25" s="10">
        <f t="shared" si="35"/>
        <v>21</v>
      </c>
      <c r="I25">
        <f t="shared" si="15"/>
        <v>250</v>
      </c>
      <c r="J25">
        <f t="shared" si="16"/>
        <v>0</v>
      </c>
      <c r="K25">
        <f t="shared" si="17"/>
        <v>-100</v>
      </c>
      <c r="L25" s="9">
        <f t="shared" si="0"/>
        <v>0.43883360211662686</v>
      </c>
      <c r="M25" s="11">
        <f t="shared" si="1"/>
        <v>0.43883360211662686</v>
      </c>
      <c r="N25" s="10">
        <f>SUMPRODUCT(I26:I$54, L26:L$54) / L25</f>
        <v>2640.7807323637116</v>
      </c>
      <c r="O25" s="10">
        <f>SUMPRODUCT(J26:J$54, M26:M$54) / M25</f>
        <v>6.4205917032362093E-4</v>
      </c>
      <c r="P25" s="10">
        <f>SUMPRODUCT(K26:K$54, M26:M$54) / M25</f>
        <v>-1698.371463269106</v>
      </c>
      <c r="Q25" s="10" cm="1">
        <f t="array" ref="Q25">IF($H25 &gt;= $B$12 - 1, 0, SUMPRODUCT(I26:I$54*L26:L$54, $H26:$H$54 - $H25) / L25 /N25) / (1 + $B$10)</f>
        <v>6.6017879137115978</v>
      </c>
      <c r="R25" s="10" cm="1">
        <f t="array" ref="R25">SUMPRODUCT(J26:J$54*L26:L$54, $H26:$H$54 - $H25) / L25 /O25 / (1 + $B$10)</f>
        <v>20.453930154697158</v>
      </c>
      <c r="S25" s="10" cm="1">
        <f t="array" ref="S25">SUMPRODUCT(K26:K$54*M26:M$54, $H26:$H$54 - $H25) / M25 /P25 / (1 + $B$10)</f>
        <v>11.838507410477391</v>
      </c>
      <c r="T25" s="10">
        <f t="shared" si="36"/>
        <v>0</v>
      </c>
      <c r="U25" s="10">
        <f t="shared" si="37"/>
        <v>150</v>
      </c>
      <c r="V25" s="10">
        <f t="shared" si="18"/>
        <v>942.40991115377597</v>
      </c>
      <c r="W25">
        <f>W24 * (1+BA24) + U25</f>
        <v>5394.7477120437106</v>
      </c>
      <c r="X25" s="10">
        <f t="shared" si="19"/>
        <v>6337.1576231974868</v>
      </c>
      <c r="Y25" s="10">
        <f t="shared" si="2"/>
        <v>2640.7807323637116</v>
      </c>
      <c r="Z25">
        <f t="shared" si="3"/>
        <v>0</v>
      </c>
      <c r="AA25" s="10">
        <f t="shared" si="4"/>
        <v>942.37158495574124</v>
      </c>
      <c r="AB25" s="10">
        <f t="shared" si="5"/>
        <v>1698.4091474079705</v>
      </c>
      <c r="AC25" s="10">
        <f t="shared" si="6"/>
        <v>7.0987207702606202E-4</v>
      </c>
      <c r="AD25" s="10">
        <f t="shared" si="7"/>
        <v>-6.7812906702441095E-5</v>
      </c>
      <c r="AE25">
        <f t="shared" si="20"/>
        <v>-1086.820711008359</v>
      </c>
      <c r="AF25" s="10">
        <f t="shared" si="8"/>
        <v>-611.550752260747</v>
      </c>
      <c r="AG25" s="10">
        <f t="shared" si="21"/>
        <v>-144.44841618054079</v>
      </c>
      <c r="AH25" s="10">
        <f t="shared" si="22"/>
        <v>1086.858327334317</v>
      </c>
      <c r="AI25">
        <f t="shared" si="9"/>
        <v>1955.9128466658913</v>
      </c>
      <c r="AJ25">
        <f t="shared" si="10"/>
        <v>977.95642333294563</v>
      </c>
      <c r="AK25" s="10">
        <f t="shared" si="11"/>
        <v>3403.2883531986499</v>
      </c>
      <c r="AL25" s="4">
        <f t="shared" si="23"/>
        <v>0.30864197530864201</v>
      </c>
      <c r="AM25">
        <f t="shared" si="12"/>
        <v>1955.9128466658913</v>
      </c>
      <c r="AN25" s="10">
        <f t="shared" si="24"/>
        <v>1122.4048395134864</v>
      </c>
      <c r="AO25" s="10">
        <f t="shared" si="24"/>
        <v>2316.4300258643329</v>
      </c>
      <c r="AP25" s="10">
        <f t="shared" si="25"/>
        <v>3438.8348653778194</v>
      </c>
      <c r="AQ25" s="9">
        <f t="shared" si="26"/>
        <v>0.32639102587154023</v>
      </c>
      <c r="AR25" s="9">
        <f t="shared" si="27"/>
        <v>0.67360897412845977</v>
      </c>
      <c r="AS25">
        <f t="shared" si="39"/>
        <v>1955.9128466658913</v>
      </c>
      <c r="AT25">
        <f t="shared" si="40"/>
        <v>1122.4048395134864</v>
      </c>
      <c r="AU25">
        <f t="shared" si="41"/>
        <v>2316.4300258643329</v>
      </c>
      <c r="AV25">
        <f t="shared" si="31"/>
        <v>0.36255872397875788</v>
      </c>
      <c r="AW25">
        <f t="shared" si="32"/>
        <v>0.20805511201343685</v>
      </c>
      <c r="AX25">
        <f t="shared" si="33"/>
        <v>0.42938616400780527</v>
      </c>
      <c r="AY25" s="3">
        <f t="shared" si="13"/>
        <v>4.9331725599709525E-2</v>
      </c>
      <c r="AZ25">
        <f t="shared" si="14"/>
        <v>5.661438558164136E-3</v>
      </c>
      <c r="BA25" s="11">
        <f t="shared" si="34"/>
        <v>4.650100632062746E-2</v>
      </c>
    </row>
    <row r="26" spans="1:53" x14ac:dyDescent="0.2">
      <c r="A26" t="s">
        <v>7</v>
      </c>
      <c r="B26" s="4">
        <f>B16/C16</f>
        <v>5.5555555555555559E-2</v>
      </c>
      <c r="H26" s="10">
        <f t="shared" si="35"/>
        <v>22</v>
      </c>
      <c r="I26">
        <f t="shared" si="15"/>
        <v>250</v>
      </c>
      <c r="J26">
        <f t="shared" si="16"/>
        <v>0</v>
      </c>
      <c r="K26">
        <f t="shared" si="17"/>
        <v>-100</v>
      </c>
      <c r="L26" s="9">
        <f t="shared" si="0"/>
        <v>0.42195538665060278</v>
      </c>
      <c r="M26" s="11">
        <f t="shared" si="1"/>
        <v>0.42195538665060278</v>
      </c>
      <c r="N26" s="10">
        <f>SUMPRODUCT(I27:I$54, L27:L$54) / L26</f>
        <v>2496.4119616582598</v>
      </c>
      <c r="O26" s="10">
        <f>SUMPRODUCT(J27:J$54, M27:M$54) / M26</f>
        <v>6.6774153713656571E-4</v>
      </c>
      <c r="P26" s="10">
        <f>SUMPRODUCT(K27:K$54, M27:M$54) / M26</f>
        <v>-1666.3063217998697</v>
      </c>
      <c r="Q26" s="10" cm="1">
        <f t="array" ref="Q26">IF($H26 &gt;= $B$12 - 1, 0, SUMPRODUCT(I27:I$54*L27:L$54, $H27:$H$54 - $H26) / L26 /N26) / (1 + $B$10)</f>
        <v>6.2050850581148103</v>
      </c>
      <c r="R26" s="10" cm="1">
        <f t="array" ref="R26">SUMPRODUCT(J27:J$54*L27:L$54, $H27:$H$54 - $H26) / L26 /O26 / (1 + $B$10)</f>
        <v>19.492391693158705</v>
      </c>
      <c r="S26" s="10" cm="1">
        <f t="array" ref="S26">SUMPRODUCT(K27:K$54*M27:M$54, $H27:$H$54 - $H26) / M26 /P26 / (1 + $B$10)</f>
        <v>11.529728216946154</v>
      </c>
      <c r="T26" s="10">
        <f t="shared" si="36"/>
        <v>0</v>
      </c>
      <c r="U26" s="10">
        <f t="shared" si="37"/>
        <v>150</v>
      </c>
      <c r="V26" s="10">
        <f t="shared" si="18"/>
        <v>830.10630759992728</v>
      </c>
      <c r="W26">
        <f t="shared" ref="W26:W38" si="42">W25 * (1+BA25) + U26</f>
        <v>5795.608909499646</v>
      </c>
      <c r="X26" s="10">
        <f t="shared" si="19"/>
        <v>6625.7152170995732</v>
      </c>
      <c r="Y26" s="10">
        <f t="shared" si="2"/>
        <v>2496.4119616582598</v>
      </c>
      <c r="Z26">
        <f t="shared" si="3"/>
        <v>0</v>
      </c>
      <c r="AA26" s="10">
        <f t="shared" si="4"/>
        <v>837.3215439018785</v>
      </c>
      <c r="AB26" s="10">
        <f t="shared" si="5"/>
        <v>1659.0904177563812</v>
      </c>
      <c r="AC26" s="10">
        <f t="shared" si="6"/>
        <v>7.0356105900853071E-4</v>
      </c>
      <c r="AD26" s="10">
        <f t="shared" si="7"/>
        <v>-3.5819521871964998E-5</v>
      </c>
      <c r="AE26">
        <f t="shared" si="20"/>
        <v>-1038.4896765692818</v>
      </c>
      <c r="AF26" s="10">
        <f t="shared" si="8"/>
        <v>-627.81664523058794</v>
      </c>
      <c r="AG26" s="10">
        <f t="shared" si="21"/>
        <v>-201.16742910634423</v>
      </c>
      <c r="AH26" s="10">
        <f t="shared" si="22"/>
        <v>1031.2737367062714</v>
      </c>
      <c r="AI26">
        <f t="shared" si="9"/>
        <v>2044.9738324381401</v>
      </c>
      <c r="AJ26">
        <f t="shared" si="10"/>
        <v>1022.4869162190701</v>
      </c>
      <c r="AK26" s="10">
        <f t="shared" si="11"/>
        <v>3558.2544684423628</v>
      </c>
      <c r="AL26" s="4">
        <f t="shared" si="23"/>
        <v>0.30864197530864201</v>
      </c>
      <c r="AM26">
        <f t="shared" si="12"/>
        <v>2044.9738324381401</v>
      </c>
      <c r="AN26" s="10">
        <f t="shared" si="24"/>
        <v>1223.6543453254144</v>
      </c>
      <c r="AO26" s="10">
        <f t="shared" si="24"/>
        <v>2526.9807317360915</v>
      </c>
      <c r="AP26" s="10">
        <f t="shared" si="25"/>
        <v>3750.6350770615059</v>
      </c>
      <c r="AQ26" s="9">
        <f t="shared" si="26"/>
        <v>0.32625257327996454</v>
      </c>
      <c r="AR26" s="9">
        <f t="shared" si="27"/>
        <v>0.6737474267200354</v>
      </c>
      <c r="AS26">
        <f t="shared" si="39"/>
        <v>2044.9738324381401</v>
      </c>
      <c r="AT26">
        <f t="shared" si="40"/>
        <v>1223.6543453254144</v>
      </c>
      <c r="AU26">
        <f t="shared" si="41"/>
        <v>2526.9807317360915</v>
      </c>
      <c r="AV26">
        <f t="shared" si="31"/>
        <v>0.3528488316535992</v>
      </c>
      <c r="AW26">
        <f t="shared" si="32"/>
        <v>0.21113473397414881</v>
      </c>
      <c r="AX26">
        <f t="shared" si="33"/>
        <v>0.43601643437225202</v>
      </c>
      <c r="AY26" s="3">
        <f t="shared" si="13"/>
        <v>4.9168323972813469E-2</v>
      </c>
      <c r="AZ26">
        <f t="shared" si="14"/>
        <v>5.4781976340244846E-3</v>
      </c>
      <c r="BA26" s="11">
        <f t="shared" si="34"/>
        <v>4.6429225155801224E-2</v>
      </c>
    </row>
    <row r="27" spans="1:53" x14ac:dyDescent="0.2">
      <c r="H27" s="10">
        <f t="shared" si="35"/>
        <v>23</v>
      </c>
      <c r="I27">
        <f t="shared" si="15"/>
        <v>250</v>
      </c>
      <c r="J27">
        <f t="shared" si="16"/>
        <v>0</v>
      </c>
      <c r="K27">
        <f t="shared" si="17"/>
        <v>-100</v>
      </c>
      <c r="L27" s="9">
        <f t="shared" si="0"/>
        <v>0.40572633331788732</v>
      </c>
      <c r="M27" s="11">
        <f t="shared" si="1"/>
        <v>0.40572633331788732</v>
      </c>
      <c r="N27" s="10">
        <f>SUMPRODUCT(I28:I$54, L28:L$54) / L27</f>
        <v>2346.2684401245901</v>
      </c>
      <c r="O27" s="10">
        <f>SUMPRODUCT(J28:J$54, M28:M$54) / M27</f>
        <v>6.9445119862202834E-4</v>
      </c>
      <c r="P27" s="10">
        <f>SUMPRODUCT(K28:K$54, M28:M$54) / M27</f>
        <v>-1632.9585746718644</v>
      </c>
      <c r="Q27" s="10" cm="1">
        <f t="array" ref="Q27">IF($H27 &gt;= $B$12 - 1, 0, SUMPRODUCT(I28:I$54*L28:L$54, $H28:$H$54 - $H27) / L27 /N27) / (1 + $B$10)</f>
        <v>5.802257879022136</v>
      </c>
      <c r="R27" s="10" cm="1">
        <f t="array" ref="R27">SUMPRODUCT(J28:J$54*L28:L$54, $H28:$H$54 - $H27) / L27 /O27 / (1 + $B$10)</f>
        <v>18.530853231620242</v>
      </c>
      <c r="S27" s="10" cm="1">
        <f t="array" ref="S27">SUMPRODUCT(K28:K$54*M28:M$54, $H28:$H$54 - $H27) / M27 /P27 / (1 + $B$10)</f>
        <v>11.21537027298643</v>
      </c>
      <c r="T27" s="10">
        <f t="shared" si="36"/>
        <v>0</v>
      </c>
      <c r="U27" s="10">
        <f t="shared" si="37"/>
        <v>150</v>
      </c>
      <c r="V27" s="10">
        <f t="shared" si="18"/>
        <v>713.31055990392451</v>
      </c>
      <c r="W27">
        <f t="shared" si="42"/>
        <v>6214.6945404737726</v>
      </c>
      <c r="X27" s="10">
        <f t="shared" si="19"/>
        <v>6928.0051003776971</v>
      </c>
      <c r="Y27" s="10">
        <f t="shared" si="2"/>
        <v>2346.2684401245901</v>
      </c>
      <c r="Z27">
        <f t="shared" si="3"/>
        <v>0</v>
      </c>
      <c r="AA27" s="10">
        <f t="shared" si="4"/>
        <v>735.87321854129073</v>
      </c>
      <c r="AB27" s="10">
        <f t="shared" si="5"/>
        <v>1610.3952215832994</v>
      </c>
      <c r="AC27" s="10">
        <f t="shared" si="6"/>
        <v>6.9560936422635483E-4</v>
      </c>
      <c r="AD27" s="10">
        <f t="shared" si="7"/>
        <v>-1.1581656043264943E-6</v>
      </c>
      <c r="AE27">
        <f t="shared" si="20"/>
        <v>-989.95865164287136</v>
      </c>
      <c r="AF27" s="10">
        <f t="shared" si="8"/>
        <v>-642.99992302899307</v>
      </c>
      <c r="AG27" s="10">
        <f t="shared" si="21"/>
        <v>-254.08473749221639</v>
      </c>
      <c r="AH27" s="10">
        <f t="shared" si="22"/>
        <v>967.39529739614079</v>
      </c>
      <c r="AI27">
        <f t="shared" si="9"/>
        <v>2138.2731791289193</v>
      </c>
      <c r="AJ27">
        <f t="shared" si="10"/>
        <v>1069.1365895644597</v>
      </c>
      <c r="AK27" s="10">
        <f t="shared" si="11"/>
        <v>3720.5953316843188</v>
      </c>
      <c r="AL27" s="4">
        <f t="shared" si="23"/>
        <v>0.30864197530864201</v>
      </c>
      <c r="AM27">
        <f t="shared" si="12"/>
        <v>2138.2731791289193</v>
      </c>
      <c r="AN27" s="10">
        <f t="shared" si="24"/>
        <v>1323.221327056676</v>
      </c>
      <c r="AO27" s="10">
        <f t="shared" si="24"/>
        <v>2753.2000342881779</v>
      </c>
      <c r="AP27" s="10">
        <f t="shared" si="25"/>
        <v>4076.4213613448537</v>
      </c>
      <c r="AQ27" s="9">
        <f t="shared" si="26"/>
        <v>0.32460366820865927</v>
      </c>
      <c r="AR27" s="9">
        <f t="shared" si="27"/>
        <v>0.67539633179134073</v>
      </c>
      <c r="AS27">
        <f t="shared" si="39"/>
        <v>2138.2731791289193</v>
      </c>
      <c r="AT27">
        <f t="shared" si="40"/>
        <v>1323.221327056676</v>
      </c>
      <c r="AU27">
        <f t="shared" si="41"/>
        <v>2753.2000342881774</v>
      </c>
      <c r="AV27">
        <f t="shared" si="31"/>
        <v>0.34406730132964986</v>
      </c>
      <c r="AW27">
        <f t="shared" si="32"/>
        <v>0.21291816008640085</v>
      </c>
      <c r="AX27">
        <f t="shared" si="33"/>
        <v>0.44301453858394935</v>
      </c>
      <c r="AY27" s="3">
        <f t="shared" si="13"/>
        <v>4.9010527627457008E-2</v>
      </c>
      <c r="AZ27">
        <f t="shared" si="14"/>
        <v>5.3044130039386203E-3</v>
      </c>
      <c r="BA27" s="11">
        <f t="shared" si="34"/>
        <v>4.6358321125487698E-2</v>
      </c>
    </row>
    <row r="28" spans="1:53" x14ac:dyDescent="0.2">
      <c r="A28" t="s">
        <v>17</v>
      </c>
      <c r="B28">
        <f>1/B7 / (1 - D15^2)</f>
        <v>0.5</v>
      </c>
      <c r="H28" s="10">
        <f t="shared" si="35"/>
        <v>24</v>
      </c>
      <c r="I28">
        <f t="shared" si="15"/>
        <v>250</v>
      </c>
      <c r="J28">
        <f t="shared" si="16"/>
        <v>0</v>
      </c>
      <c r="K28">
        <f t="shared" si="17"/>
        <v>-100</v>
      </c>
      <c r="L28" s="9">
        <f t="shared" si="0"/>
        <v>0.39012147434412242</v>
      </c>
      <c r="M28" s="11">
        <f t="shared" si="1"/>
        <v>0.39012147434412242</v>
      </c>
      <c r="N28" s="10">
        <f>SUMPRODUCT(I29:I$54, L29:L$54) / L28</f>
        <v>2190.119177729573</v>
      </c>
      <c r="O28" s="10">
        <f>SUMPRODUCT(J29:J$54, M29:M$54) / M28</f>
        <v>7.2222924656690948E-4</v>
      </c>
      <c r="P28" s="10">
        <f>SUMPRODUCT(K29:K$54, M29:M$54) / M28</f>
        <v>-1598.276917658739</v>
      </c>
      <c r="Q28" s="10" cm="1">
        <f t="array" ref="Q28">IF($H28 &gt;= $B$12 - 1, 0, SUMPRODUCT(I29:I$54*L29:L$54, $H29:$H$54 - $H28) / L28 /N28) / (1 + $B$10)</f>
        <v>5.3932828883106261</v>
      </c>
      <c r="R28" s="10" cm="1">
        <f t="array" ref="R28">SUMPRODUCT(J29:J$54*L29:L$54, $H29:$H$54 - $H28) / L28 /O28 / (1 + $B$10)</f>
        <v>17.569314770081778</v>
      </c>
      <c r="S28" s="10" cm="1">
        <f t="array" ref="S28">SUMPRODUCT(K29:K$54*M29:M$54, $H29:$H$54 - $H28) / M28 /P28 / (1 + $B$10)</f>
        <v>10.895387207647294</v>
      </c>
      <c r="T28" s="10">
        <f t="shared" si="36"/>
        <v>0</v>
      </c>
      <c r="U28" s="10">
        <f t="shared" si="37"/>
        <v>150</v>
      </c>
      <c r="V28" s="10">
        <f t="shared" si="18"/>
        <v>591.84298230008062</v>
      </c>
      <c r="W28">
        <f t="shared" si="42"/>
        <v>6652.7973456778709</v>
      </c>
      <c r="X28" s="10">
        <f t="shared" si="19"/>
        <v>7244.6403279779515</v>
      </c>
      <c r="Y28" s="10">
        <f t="shared" si="2"/>
        <v>2190.119177729573</v>
      </c>
      <c r="Z28">
        <f t="shared" si="3"/>
        <v>0</v>
      </c>
      <c r="AA28" s="10">
        <f t="shared" si="4"/>
        <v>638.48282619512679</v>
      </c>
      <c r="AB28" s="10">
        <f t="shared" si="5"/>
        <v>1551.6363515344462</v>
      </c>
      <c r="AC28" s="10">
        <f t="shared" si="6"/>
        <v>6.8589583616719121E-4</v>
      </c>
      <c r="AD28" s="10">
        <f t="shared" si="7"/>
        <v>3.6333410399718271E-5</v>
      </c>
      <c r="AE28">
        <f t="shared" si="20"/>
        <v>-941.28896664524177</v>
      </c>
      <c r="AF28" s="10">
        <f t="shared" si="8"/>
        <v>-656.9879510134972</v>
      </c>
      <c r="AG28" s="10">
        <f t="shared" si="21"/>
        <v>-302.80545455427887</v>
      </c>
      <c r="AH28" s="10">
        <f t="shared" si="22"/>
        <v>894.64843685435949</v>
      </c>
      <c r="AI28">
        <f t="shared" si="9"/>
        <v>2236.000101227763</v>
      </c>
      <c r="AJ28">
        <f t="shared" si="10"/>
        <v>1118.0000506138815</v>
      </c>
      <c r="AK28" s="10">
        <f t="shared" si="11"/>
        <v>3890.6401761363077</v>
      </c>
      <c r="AL28" s="4">
        <f t="shared" si="23"/>
        <v>0.30864197530864196</v>
      </c>
      <c r="AM28">
        <f t="shared" si="12"/>
        <v>2236.000101227763</v>
      </c>
      <c r="AN28" s="10">
        <f t="shared" si="24"/>
        <v>1420.8055051681604</v>
      </c>
      <c r="AO28" s="10">
        <f t="shared" si="24"/>
        <v>2995.991739281948</v>
      </c>
      <c r="AP28" s="10">
        <f t="shared" si="25"/>
        <v>4416.7972444501083</v>
      </c>
      <c r="AQ28" s="9">
        <f t="shared" si="26"/>
        <v>0.32168230202404297</v>
      </c>
      <c r="AR28" s="9">
        <f t="shared" si="27"/>
        <v>0.67831769797595709</v>
      </c>
      <c r="AS28">
        <f t="shared" si="39"/>
        <v>2236.000101227763</v>
      </c>
      <c r="AT28">
        <f t="shared" si="40"/>
        <v>1420.8055051681604</v>
      </c>
      <c r="AU28">
        <f t="shared" si="41"/>
        <v>2995.991739281948</v>
      </c>
      <c r="AV28">
        <f t="shared" si="31"/>
        <v>0.33609923541116538</v>
      </c>
      <c r="AW28">
        <f t="shared" si="32"/>
        <v>0.21356512626845855</v>
      </c>
      <c r="AX28">
        <f t="shared" si="33"/>
        <v>0.4503356383203761</v>
      </c>
      <c r="AY28" s="3">
        <f t="shared" si="13"/>
        <v>4.8857635970907892E-2</v>
      </c>
      <c r="AZ28">
        <f t="shared" si="14"/>
        <v>5.1377573981458563E-3</v>
      </c>
      <c r="BA28" s="11">
        <f t="shared" si="34"/>
        <v>4.6288757271834964E-2</v>
      </c>
    </row>
    <row r="29" spans="1:53" x14ac:dyDescent="0.2">
      <c r="A29" t="s">
        <v>18</v>
      </c>
      <c r="H29" s="10">
        <f t="shared" si="35"/>
        <v>25</v>
      </c>
      <c r="I29">
        <f t="shared" si="15"/>
        <v>250</v>
      </c>
      <c r="J29">
        <f t="shared" si="16"/>
        <v>0</v>
      </c>
      <c r="K29">
        <f t="shared" si="17"/>
        <v>-100</v>
      </c>
      <c r="L29" s="9">
        <f t="shared" si="0"/>
        <v>0.37511680225396377</v>
      </c>
      <c r="M29" s="11">
        <f t="shared" si="1"/>
        <v>0.37511680225396377</v>
      </c>
      <c r="N29" s="10">
        <f>SUMPRODUCT(I30:I$54, L30:L$54) / L29</f>
        <v>2027.7239448387572</v>
      </c>
      <c r="O29" s="10">
        <f>SUMPRODUCT(J30:J$54, M30:M$54) / M29</f>
        <v>7.5111841642958607E-4</v>
      </c>
      <c r="P29" s="10">
        <f>SUMPRODUCT(K30:K$54, M30:M$54) / M29</f>
        <v>-1562.207994365089</v>
      </c>
      <c r="Q29" s="10" cm="1">
        <f t="array" ref="Q29">IF($H29 &gt;= $B$12 - 1, 0, SUMPRODUCT(I30:I$54*L30:L$54, $H30:$H$54 - $H29) / L29 /N29) / (1 + $B$10)</f>
        <v>4.978138382178722</v>
      </c>
      <c r="R29" s="10" cm="1">
        <f t="array" ref="R29">SUMPRODUCT(J30:J$54*L30:L$54, $H30:$H$54 - $H29) / L29 /O29 / (1 + $B$10)</f>
        <v>16.607776308543311</v>
      </c>
      <c r="S29" s="10" cm="1">
        <f t="array" ref="S29">SUMPRODUCT(K30:K$54*M30:M$54, $H30:$H$54 - $H29) / M29 /P29 / (1 + $B$10)</f>
        <v>10.569733902371025</v>
      </c>
      <c r="T29" s="10">
        <f t="shared" si="36"/>
        <v>0</v>
      </c>
      <c r="U29" s="10">
        <f t="shared" si="37"/>
        <v>150</v>
      </c>
      <c r="V29" s="10">
        <f t="shared" si="18"/>
        <v>465.5167015920847</v>
      </c>
      <c r="W29">
        <f t="shared" si="42"/>
        <v>7110.7470671906613</v>
      </c>
      <c r="X29" s="10">
        <f t="shared" si="19"/>
        <v>7576.2637687827464</v>
      </c>
      <c r="Y29" s="10">
        <f t="shared" si="2"/>
        <v>2027.7239448387572</v>
      </c>
      <c r="Z29">
        <f t="shared" si="3"/>
        <v>0</v>
      </c>
      <c r="AA29" s="10">
        <f t="shared" si="4"/>
        <v>545.63731882511718</v>
      </c>
      <c r="AB29" s="10">
        <f t="shared" si="5"/>
        <v>1482.0866260136399</v>
      </c>
      <c r="AC29" s="10">
        <f t="shared" si="6"/>
        <v>6.7429225088053233E-4</v>
      </c>
      <c r="AD29" s="10">
        <f t="shared" si="7"/>
        <v>7.682616554905374E-5</v>
      </c>
      <c r="AE29">
        <f t="shared" si="20"/>
        <v>-892.5471784105797</v>
      </c>
      <c r="AF29" s="10">
        <f t="shared" si="8"/>
        <v>-669.6608159545093</v>
      </c>
      <c r="AG29" s="10">
        <f t="shared" si="21"/>
        <v>-346.90918529321164</v>
      </c>
      <c r="AH29" s="10">
        <f t="shared" si="22"/>
        <v>812.42588688529622</v>
      </c>
      <c r="AI29">
        <f t="shared" si="9"/>
        <v>2338.3530150564034</v>
      </c>
      <c r="AJ29">
        <f t="shared" si="10"/>
        <v>1169.1765075282017</v>
      </c>
      <c r="AK29" s="10">
        <f t="shared" si="11"/>
        <v>4068.7342461981407</v>
      </c>
      <c r="AL29" s="4">
        <f t="shared" si="23"/>
        <v>0.30864197530864201</v>
      </c>
      <c r="AM29">
        <f t="shared" si="12"/>
        <v>2338.3530150564034</v>
      </c>
      <c r="AN29" s="10">
        <f t="shared" si="24"/>
        <v>1516.0856928214134</v>
      </c>
      <c r="AO29" s="10">
        <f t="shared" si="24"/>
        <v>3256.3083593128445</v>
      </c>
      <c r="AP29" s="10">
        <f t="shared" si="25"/>
        <v>4772.3940521342574</v>
      </c>
      <c r="AQ29" s="9">
        <f t="shared" si="26"/>
        <v>0.3176782294713083</v>
      </c>
      <c r="AR29" s="9">
        <f t="shared" si="27"/>
        <v>0.68232177052869181</v>
      </c>
      <c r="AS29">
        <f t="shared" si="39"/>
        <v>2338.3530150564034</v>
      </c>
      <c r="AT29">
        <f t="shared" si="40"/>
        <v>1516.0856928214134</v>
      </c>
      <c r="AU29">
        <f t="shared" si="41"/>
        <v>3256.308359312844</v>
      </c>
      <c r="AV29">
        <f t="shared" si="31"/>
        <v>0.32884772766643322</v>
      </c>
      <c r="AW29">
        <f t="shared" si="32"/>
        <v>0.2132104655805728</v>
      </c>
      <c r="AX29">
        <f t="shared" si="33"/>
        <v>0.4579418067529939</v>
      </c>
      <c r="AY29" s="3">
        <f t="shared" si="13"/>
        <v>4.8709059209134389E-2</v>
      </c>
      <c r="AZ29">
        <f t="shared" si="14"/>
        <v>4.9766247922325441E-3</v>
      </c>
      <c r="BA29" s="11">
        <f t="shared" si="34"/>
        <v>4.6220746813018118E-2</v>
      </c>
    </row>
    <row r="30" spans="1:53" x14ac:dyDescent="0.2">
      <c r="A30" t="s">
        <v>15</v>
      </c>
      <c r="B30" s="4">
        <f>B25 * B$28 / C15</f>
        <v>0.30864197530864201</v>
      </c>
      <c r="H30" s="10">
        <f t="shared" si="35"/>
        <v>26</v>
      </c>
      <c r="I30">
        <f t="shared" si="15"/>
        <v>250</v>
      </c>
      <c r="J30">
        <f t="shared" si="16"/>
        <v>0</v>
      </c>
      <c r="K30">
        <f t="shared" si="17"/>
        <v>-100</v>
      </c>
      <c r="L30" s="9">
        <f t="shared" si="0"/>
        <v>0.36068923293650368</v>
      </c>
      <c r="M30" s="11">
        <f t="shared" si="1"/>
        <v>0.36068923293650368</v>
      </c>
      <c r="N30" s="10">
        <f>SUMPRODUCT(I31:I$54, L31:L$54) / L30</f>
        <v>1858.8329026323072</v>
      </c>
      <c r="O30" s="10">
        <f>SUMPRODUCT(J31:J$54, M31:M$54) / M30</f>
        <v>7.8116315308676936E-4</v>
      </c>
      <c r="P30" s="10">
        <f>SUMPRODUCT(K31:K$54, M31:M$54) / M30</f>
        <v>-1524.696314139692</v>
      </c>
      <c r="Q30" s="10" cm="1">
        <f t="array" ref="Q30">IF($H30 &gt;= $B$12 - 1, 0, SUMPRODUCT(I31:I$54*L31:L$54, $H31:$H$54 - $H30) / L30 /N30) / (1 + $B$10)</f>
        <v>4.5568044644365759</v>
      </c>
      <c r="R30" s="10" cm="1">
        <f t="array" ref="R30">SUMPRODUCT(J31:J$54*L31:L$54, $H31:$H$54 - $H30) / L30 /O30 / (1 + $B$10)</f>
        <v>15.64623784700486</v>
      </c>
      <c r="S30" s="10" cm="1">
        <f t="array" ref="S30">SUMPRODUCT(K31:K$54*M31:M$54, $H31:$H$54 - $H30) / M30 /P30 / (1 + $B$10)</f>
        <v>10.238366534690947</v>
      </c>
      <c r="T30" s="10">
        <f t="shared" si="36"/>
        <v>0</v>
      </c>
      <c r="U30" s="10">
        <f t="shared" si="37"/>
        <v>150</v>
      </c>
      <c r="V30" s="10">
        <f t="shared" si="18"/>
        <v>334.13736965576823</v>
      </c>
      <c r="W30">
        <f t="shared" si="42"/>
        <v>7589.4111070346917</v>
      </c>
      <c r="X30" s="10">
        <f t="shared" si="19"/>
        <v>7923.5484766904601</v>
      </c>
      <c r="Y30" s="10">
        <f t="shared" si="2"/>
        <v>1858.8329026323072</v>
      </c>
      <c r="Z30">
        <f t="shared" si="3"/>
        <v>0</v>
      </c>
      <c r="AA30" s="10">
        <f t="shared" si="4"/>
        <v>457.85611185710792</v>
      </c>
      <c r="AB30" s="10">
        <f t="shared" si="5"/>
        <v>1400.9767907751993</v>
      </c>
      <c r="AC30" s="10">
        <f t="shared" si="6"/>
        <v>6.6066294543307364E-4</v>
      </c>
      <c r="AD30" s="10">
        <f t="shared" si="7"/>
        <v>1.2050020765369573E-4</v>
      </c>
      <c r="AE30">
        <f t="shared" si="20"/>
        <v>-843.80539017591673</v>
      </c>
      <c r="AF30" s="10">
        <f t="shared" si="8"/>
        <v>-680.89092396377532</v>
      </c>
      <c r="AG30" s="10">
        <f t="shared" si="21"/>
        <v>-385.94861765586336</v>
      </c>
      <c r="AH30" s="10">
        <f t="shared" si="22"/>
        <v>720.0859873116317</v>
      </c>
      <c r="AI30">
        <f t="shared" si="9"/>
        <v>2445.5396532995251</v>
      </c>
      <c r="AJ30">
        <f t="shared" si="10"/>
        <v>1222.7698266497625</v>
      </c>
      <c r="AK30" s="10">
        <f t="shared" si="11"/>
        <v>4255.2389967411727</v>
      </c>
      <c r="AL30" s="4">
        <f t="shared" si="23"/>
        <v>0.30864197530864201</v>
      </c>
      <c r="AM30">
        <f t="shared" si="12"/>
        <v>2445.5396532995251</v>
      </c>
      <c r="AN30" s="10">
        <f t="shared" si="24"/>
        <v>1608.7184443056258</v>
      </c>
      <c r="AO30" s="10">
        <f t="shared" si="24"/>
        <v>3535.1530094295413</v>
      </c>
      <c r="AP30" s="10">
        <f t="shared" si="25"/>
        <v>5143.8714537351671</v>
      </c>
      <c r="AQ30" s="9">
        <f t="shared" si="26"/>
        <v>0.31274468243903569</v>
      </c>
      <c r="AR30" s="9">
        <f t="shared" si="27"/>
        <v>0.68725531756096425</v>
      </c>
      <c r="AS30">
        <f t="shared" si="39"/>
        <v>2445.5396532995251</v>
      </c>
      <c r="AT30">
        <f t="shared" si="40"/>
        <v>1608.7184443056258</v>
      </c>
      <c r="AU30">
        <f t="shared" si="41"/>
        <v>3535.1530094295404</v>
      </c>
      <c r="AV30">
        <f t="shared" si="31"/>
        <v>0.32223048913936592</v>
      </c>
      <c r="AW30">
        <f t="shared" si="32"/>
        <v>0.2119688104409696</v>
      </c>
      <c r="AX30">
        <f t="shared" si="33"/>
        <v>0.46580070041966443</v>
      </c>
      <c r="AY30" s="3">
        <f t="shared" si="13"/>
        <v>4.8564297887197017E-2</v>
      </c>
      <c r="AZ30">
        <f t="shared" si="14"/>
        <v>4.819929777276453E-3</v>
      </c>
      <c r="BA30" s="11">
        <f t="shared" si="34"/>
        <v>4.6154332998558791E-2</v>
      </c>
    </row>
    <row r="31" spans="1:53" x14ac:dyDescent="0.2">
      <c r="A31" t="s">
        <v>19</v>
      </c>
      <c r="B31" s="4">
        <f>B26 * B$28 / C16</f>
        <v>0.15432098765432101</v>
      </c>
      <c r="H31" s="10">
        <f t="shared" si="35"/>
        <v>27</v>
      </c>
      <c r="I31">
        <f t="shared" si="15"/>
        <v>250</v>
      </c>
      <c r="J31">
        <f t="shared" si="16"/>
        <v>0</v>
      </c>
      <c r="K31">
        <f t="shared" si="17"/>
        <v>-100</v>
      </c>
      <c r="L31" s="9">
        <f t="shared" si="0"/>
        <v>0.3468165701312535</v>
      </c>
      <c r="M31" s="11">
        <f t="shared" si="1"/>
        <v>0.3468165701312535</v>
      </c>
      <c r="N31" s="10">
        <f>SUMPRODUCT(I32:I$54, L32:L$54) / L31</f>
        <v>1683.1862187375996</v>
      </c>
      <c r="O31" s="10">
        <f>SUMPRODUCT(J32:J$54, M32:M$54) / M31</f>
        <v>8.1240967921024018E-4</v>
      </c>
      <c r="P31" s="10">
        <f>SUMPRODUCT(K32:K$54, M32:M$54) / M31</f>
        <v>-1485.6841667052799</v>
      </c>
      <c r="Q31" s="10" cm="1">
        <f t="array" ref="Q31">IF($H31 &gt;= $B$12 - 1, 0, SUMPRODUCT(I32:I$54*L32:L$54, $H32:$H$54 - $H31) / L31 /N31) / (1 + $B$10)</f>
        <v>4.1292630679398226</v>
      </c>
      <c r="R31" s="10" cm="1">
        <f t="array" ref="R31">SUMPRODUCT(J32:J$54*L32:L$54, $H32:$H$54 - $H31) / L31 /O31 / (1 + $B$10)</f>
        <v>14.6846993854664</v>
      </c>
      <c r="S31" s="10" cm="1">
        <f t="array" ref="S31">SUMPRODUCT(K32:K$54*M32:M$54, $H32:$H$54 - $H31) / M31 /P31 / (1 + $B$10)</f>
        <v>9.9012426210792626</v>
      </c>
      <c r="T31" s="10">
        <f t="shared" si="36"/>
        <v>0</v>
      </c>
      <c r="U31" s="10">
        <f t="shared" si="37"/>
        <v>150</v>
      </c>
      <c r="V31" s="10">
        <f t="shared" si="18"/>
        <v>197.50286444199878</v>
      </c>
      <c r="W31">
        <f t="shared" si="42"/>
        <v>8089.6953145317311</v>
      </c>
      <c r="X31" s="10">
        <f t="shared" si="19"/>
        <v>8287.1981789737292</v>
      </c>
      <c r="Y31" s="10">
        <f t="shared" si="2"/>
        <v>1683.1862187375996</v>
      </c>
      <c r="Z31">
        <f t="shared" si="3"/>
        <v>0</v>
      </c>
      <c r="AA31" s="10">
        <f t="shared" si="4"/>
        <v>375.69290213505133</v>
      </c>
      <c r="AB31" s="10">
        <f t="shared" si="5"/>
        <v>1307.4933166025482</v>
      </c>
      <c r="AC31" s="10">
        <f t="shared" si="6"/>
        <v>6.4486442794840922E-4</v>
      </c>
      <c r="AD31" s="10">
        <f t="shared" si="7"/>
        <v>1.6754525126183096E-4</v>
      </c>
      <c r="AE31">
        <f t="shared" si="20"/>
        <v>-795.14158880242951</v>
      </c>
      <c r="AF31" s="10">
        <f t="shared" si="8"/>
        <v>-690.54257790285044</v>
      </c>
      <c r="AG31" s="10">
        <f t="shared" si="21"/>
        <v>-419.44804180295023</v>
      </c>
      <c r="AH31" s="10">
        <f t="shared" si="22"/>
        <v>616.95090624494912</v>
      </c>
      <c r="AI31">
        <f t="shared" si="9"/>
        <v>2557.7772157326326</v>
      </c>
      <c r="AJ31">
        <f t="shared" si="10"/>
        <v>1278.8886078663163</v>
      </c>
      <c r="AK31" s="10">
        <f t="shared" si="11"/>
        <v>4450.5323553747803</v>
      </c>
      <c r="AL31" s="4">
        <f t="shared" si="23"/>
        <v>0.30864197530864201</v>
      </c>
      <c r="AM31">
        <f t="shared" si="12"/>
        <v>2557.7772157326326</v>
      </c>
      <c r="AN31" s="10">
        <f t="shared" si="24"/>
        <v>1698.3366496692665</v>
      </c>
      <c r="AO31" s="10">
        <f t="shared" si="24"/>
        <v>3833.5814491298311</v>
      </c>
      <c r="AP31" s="10">
        <f t="shared" si="25"/>
        <v>5531.9180987990976</v>
      </c>
      <c r="AQ31" s="9">
        <f t="shared" si="26"/>
        <v>0.30700683186866989</v>
      </c>
      <c r="AR31" s="9">
        <f t="shared" si="27"/>
        <v>0.69299316813133016</v>
      </c>
      <c r="AS31">
        <f t="shared" si="39"/>
        <v>2557.7772157326326</v>
      </c>
      <c r="AT31">
        <f t="shared" si="40"/>
        <v>1698.3366496692665</v>
      </c>
      <c r="AU31">
        <f t="shared" si="41"/>
        <v>3833.581449129832</v>
      </c>
      <c r="AV31">
        <f t="shared" si="31"/>
        <v>0.31617720028812835</v>
      </c>
      <c r="AW31">
        <f t="shared" si="32"/>
        <v>0.20993827129910567</v>
      </c>
      <c r="AX31">
        <f t="shared" si="33"/>
        <v>0.47388452841276596</v>
      </c>
      <c r="AY31" s="3">
        <f t="shared" si="13"/>
        <v>4.8422926718753624E-2</v>
      </c>
      <c r="AZ31">
        <f t="shared" si="14"/>
        <v>4.6669640315143146E-3</v>
      </c>
      <c r="BA31" s="11">
        <f t="shared" si="34"/>
        <v>4.6089444702996467E-2</v>
      </c>
    </row>
    <row r="32" spans="1:53" x14ac:dyDescent="0.2">
      <c r="A32" t="s">
        <v>43</v>
      </c>
      <c r="B32" s="2">
        <f>SUMPRODUCT(B30:B31, B15:B16) + B10</f>
        <v>4.771604938271605E-2</v>
      </c>
      <c r="H32" s="10">
        <f t="shared" si="35"/>
        <v>28</v>
      </c>
      <c r="I32">
        <f t="shared" si="15"/>
        <v>250</v>
      </c>
      <c r="J32">
        <f t="shared" si="16"/>
        <v>0</v>
      </c>
      <c r="K32">
        <f t="shared" si="17"/>
        <v>-100</v>
      </c>
      <c r="L32" s="9">
        <f t="shared" si="0"/>
        <v>0.3334774712800514</v>
      </c>
      <c r="M32" s="11">
        <f t="shared" si="1"/>
        <v>0.3334774712800514</v>
      </c>
      <c r="N32" s="10">
        <f>SUMPRODUCT(I33:I$54, L33:L$54) / L32</f>
        <v>1500.5136674871037</v>
      </c>
      <c r="O32" s="10">
        <f>SUMPRODUCT(J33:J$54, M33:M$54) / M32</f>
        <v>8.4490606637864995E-4</v>
      </c>
      <c r="P32" s="10">
        <f>SUMPRODUCT(K33:K$54, M33:M$54) / M32</f>
        <v>-1445.1115333734913</v>
      </c>
      <c r="Q32" s="10" cm="1">
        <f t="array" ref="Q32">IF($H32 &gt;= $B$12 - 1, 0, SUMPRODUCT(I33:I$54*L33:L$54, $H33:$H$54 - $H32) / L32 /N32) / (1 + $B$10)</f>
        <v>3.6954979741218841</v>
      </c>
      <c r="R32" s="10" cm="1">
        <f t="array" ref="R32">SUMPRODUCT(J33:J$54*L33:L$54, $H33:$H$54 - $H32) / L32 /O32 / (1 + $B$10)</f>
        <v>13.723160923927935</v>
      </c>
      <c r="S32" s="10" cm="1">
        <f t="array" ref="S32">SUMPRODUCT(K33:K$54*M33:M$54, $H33:$H$54 - $H32) / M32 /P32 / (1 + $B$10)</f>
        <v>9.5583210588656442</v>
      </c>
      <c r="T32" s="10">
        <f t="shared" si="36"/>
        <v>0</v>
      </c>
      <c r="U32" s="10">
        <f t="shared" si="37"/>
        <v>150</v>
      </c>
      <c r="V32" s="10">
        <f t="shared" si="18"/>
        <v>55.402979019678696</v>
      </c>
      <c r="W32">
        <f t="shared" si="42"/>
        <v>8612.5448793949308</v>
      </c>
      <c r="X32" s="10">
        <f t="shared" si="19"/>
        <v>8667.9478584146091</v>
      </c>
      <c r="Y32" s="10">
        <f t="shared" si="2"/>
        <v>1500.5136674871037</v>
      </c>
      <c r="Z32">
        <f t="shared" si="3"/>
        <v>0</v>
      </c>
      <c r="AA32" s="10">
        <f t="shared" si="4"/>
        <v>299.73757936977245</v>
      </c>
      <c r="AB32" s="10">
        <f t="shared" si="5"/>
        <v>1200.7760881173313</v>
      </c>
      <c r="AC32" s="10">
        <f t="shared" si="6"/>
        <v>6.2674496835227851E-4</v>
      </c>
      <c r="AD32" s="10">
        <f t="shared" si="7"/>
        <v>2.1816109802637144E-4</v>
      </c>
      <c r="AE32">
        <f t="shared" si="20"/>
        <v>-746.64000010018719</v>
      </c>
      <c r="AF32" s="10">
        <f t="shared" si="8"/>
        <v>-698.47153327330409</v>
      </c>
      <c r="AG32" s="10">
        <f t="shared" si="21"/>
        <v>-446.90179398544637</v>
      </c>
      <c r="AH32" s="10">
        <f t="shared" si="22"/>
        <v>502.30477300512518</v>
      </c>
      <c r="AI32">
        <f t="shared" si="9"/>
        <v>2675.2925488933984</v>
      </c>
      <c r="AJ32">
        <f t="shared" si="10"/>
        <v>1337.6462744466992</v>
      </c>
      <c r="AK32" s="10">
        <f t="shared" si="11"/>
        <v>4655.0090350745122</v>
      </c>
      <c r="AL32" s="4">
        <f t="shared" si="23"/>
        <v>0.30864197530864201</v>
      </c>
      <c r="AM32">
        <f t="shared" si="12"/>
        <v>2675.2925488933984</v>
      </c>
      <c r="AN32" s="10">
        <f t="shared" si="24"/>
        <v>1784.5480684321456</v>
      </c>
      <c r="AO32" s="10">
        <f t="shared" si="24"/>
        <v>4152.7042620693874</v>
      </c>
      <c r="AP32" s="10">
        <f t="shared" si="25"/>
        <v>5937.2523305015329</v>
      </c>
      <c r="AQ32" s="9">
        <f t="shared" si="26"/>
        <v>0.30056800167720021</v>
      </c>
      <c r="AR32" s="9">
        <f t="shared" si="27"/>
        <v>0.69943199832279979</v>
      </c>
      <c r="AS32">
        <f t="shared" si="39"/>
        <v>2675.2925488933984</v>
      </c>
      <c r="AT32">
        <f t="shared" si="40"/>
        <v>1784.5480684321456</v>
      </c>
      <c r="AU32">
        <f t="shared" si="41"/>
        <v>4152.7042620693874</v>
      </c>
      <c r="AV32">
        <f t="shared" si="31"/>
        <v>0.31062741458612275</v>
      </c>
      <c r="AW32">
        <f t="shared" si="32"/>
        <v>0.20720334040889404</v>
      </c>
      <c r="AX32">
        <f t="shared" si="33"/>
        <v>0.48216924500498304</v>
      </c>
      <c r="AY32" s="3">
        <f t="shared" si="13"/>
        <v>4.8284581695811395E-2</v>
      </c>
      <c r="AZ32">
        <f t="shared" si="14"/>
        <v>4.5172927249976409E-3</v>
      </c>
      <c r="BA32" s="11">
        <f t="shared" si="34"/>
        <v>4.6025935333312576E-2</v>
      </c>
    </row>
    <row r="33" spans="1:53" x14ac:dyDescent="0.2">
      <c r="A33" t="s">
        <v>44</v>
      </c>
      <c r="B33" s="4">
        <f>SQRT(B30^2 * C15^2 + B31^2 * C16^2 + 2 * B30 * B31 * D15 * C15 * C16)</f>
        <v>6.2112999374994163E-2</v>
      </c>
      <c r="H33" s="10">
        <f t="shared" si="35"/>
        <v>29</v>
      </c>
      <c r="I33">
        <f t="shared" si="15"/>
        <v>250</v>
      </c>
      <c r="J33">
        <f t="shared" si="16"/>
        <v>0</v>
      </c>
      <c r="K33">
        <f t="shared" si="17"/>
        <v>-100</v>
      </c>
      <c r="L33" s="9">
        <f t="shared" si="0"/>
        <v>0.32065141469235708</v>
      </c>
      <c r="M33" s="11">
        <f t="shared" si="1"/>
        <v>0.32065141469235708</v>
      </c>
      <c r="N33" s="10">
        <f>SUMPRODUCT(I34:I$54, L34:L$54) / L33</f>
        <v>1310.5342141865879</v>
      </c>
      <c r="O33" s="10">
        <f>SUMPRODUCT(J34:J$54, M34:M$54) / M33</f>
        <v>8.7870230903379603E-4</v>
      </c>
      <c r="P33" s="10">
        <f>SUMPRODUCT(K34:K$54, M34:M$54) / M33</f>
        <v>-1402.9159947084311</v>
      </c>
      <c r="Q33" s="10" cm="1">
        <f t="array" ref="Q33">IF($H33 &gt;= $B$12 - 1, 0, SUMPRODUCT(I34:I$54*L34:L$54, $H34:$H$54 - $H33) / L33 /N33) / (1 + $B$10)</f>
        <v>3.2554948305835545</v>
      </c>
      <c r="R33" s="10" cm="1">
        <f t="array" ref="R33">SUMPRODUCT(J34:J$54*L34:L$54, $H34:$H$54 - $H33) / L33 /O33 / (1 + $B$10)</f>
        <v>12.761622462389468</v>
      </c>
      <c r="S33" s="10" cm="1">
        <f t="array" ref="S33">SUMPRODUCT(K34:K$54*M34:M$54, $H34:$H$54 - $H33) / M33 /P33 / (1 + $B$10)</f>
        <v>9.2095621671483894</v>
      </c>
      <c r="T33" s="10">
        <f t="shared" si="36"/>
        <v>0</v>
      </c>
      <c r="U33" s="10">
        <f t="shared" si="37"/>
        <v>150</v>
      </c>
      <c r="V33" s="10">
        <f t="shared" si="18"/>
        <v>-92.380901819534074</v>
      </c>
      <c r="W33">
        <f t="shared" si="42"/>
        <v>9158.9453130692145</v>
      </c>
      <c r="X33" s="10">
        <f>V33 + W33</f>
        <v>9066.5644112496811</v>
      </c>
      <c r="Y33" s="10">
        <f t="shared" si="2"/>
        <v>1310.5342141865879</v>
      </c>
      <c r="Z33">
        <f t="shared" si="3"/>
        <v>0</v>
      </c>
      <c r="AA33" s="10">
        <f t="shared" si="4"/>
        <v>230.61823565336854</v>
      </c>
      <c r="AB33" s="10">
        <f t="shared" si="5"/>
        <v>1079.9159785332192</v>
      </c>
      <c r="AC33" s="10">
        <f t="shared" si="6"/>
        <v>6.061441689037396E-4</v>
      </c>
      <c r="AD33" s="10">
        <f t="shared" si="7"/>
        <v>2.7255814013005643E-4</v>
      </c>
      <c r="AE33">
        <f t="shared" si="20"/>
        <v>-698.39146316508732</v>
      </c>
      <c r="AF33" s="10">
        <f t="shared" si="8"/>
        <v>-704.52453154334376</v>
      </c>
      <c r="AG33" s="10">
        <f t="shared" si="21"/>
        <v>-467.77262136754985</v>
      </c>
      <c r="AH33" s="10">
        <f t="shared" si="22"/>
        <v>375.39171954801566</v>
      </c>
      <c r="AI33">
        <f t="shared" si="9"/>
        <v>2798.3223491511367</v>
      </c>
      <c r="AJ33">
        <f t="shared" si="10"/>
        <v>1399.1611745755683</v>
      </c>
      <c r="AK33" s="10">
        <f t="shared" si="11"/>
        <v>4869.0808875229768</v>
      </c>
      <c r="AL33" s="4">
        <f t="shared" si="23"/>
        <v>0.30864197530864201</v>
      </c>
      <c r="AM33">
        <f t="shared" si="12"/>
        <v>2798.3223491511367</v>
      </c>
      <c r="AN33" s="10">
        <f t="shared" si="24"/>
        <v>1866.9337959431182</v>
      </c>
      <c r="AO33" s="10">
        <f t="shared" si="24"/>
        <v>4493.6891679749615</v>
      </c>
      <c r="AP33" s="10">
        <f t="shared" si="25"/>
        <v>6360.6229639180801</v>
      </c>
      <c r="AQ33" s="9">
        <f t="shared" si="26"/>
        <v>0.29351429986239991</v>
      </c>
      <c r="AR33" s="9">
        <f t="shared" si="27"/>
        <v>0.70648570013760004</v>
      </c>
      <c r="AS33">
        <f t="shared" si="39"/>
        <v>2798.3223491511367</v>
      </c>
      <c r="AT33">
        <f t="shared" si="40"/>
        <v>1866.9337959431182</v>
      </c>
      <c r="AU33">
        <f t="shared" si="41"/>
        <v>4493.6891679749606</v>
      </c>
      <c r="AV33">
        <f t="shared" si="31"/>
        <v>0.30552888498614722</v>
      </c>
      <c r="AW33">
        <f t="shared" si="32"/>
        <v>0.2038372030979512</v>
      </c>
      <c r="AX33">
        <f t="shared" si="33"/>
        <v>0.4906339119159015</v>
      </c>
      <c r="AY33" s="3">
        <f t="shared" si="13"/>
        <v>4.8148949730702453E-2</v>
      </c>
      <c r="AZ33">
        <f t="shared" si="14"/>
        <v>4.3706791596566296E-3</v>
      </c>
      <c r="BA33" s="11">
        <f t="shared" si="34"/>
        <v>4.5963610150874142E-2</v>
      </c>
    </row>
    <row r="34" spans="1:53" x14ac:dyDescent="0.2">
      <c r="A34" t="s">
        <v>45</v>
      </c>
      <c r="B34" s="14">
        <f>B32 - 1/2 * B33 ^ 2</f>
        <v>4.5787037037037036E-2</v>
      </c>
      <c r="H34" s="10">
        <f t="shared" si="35"/>
        <v>30</v>
      </c>
      <c r="I34">
        <f t="shared" si="15"/>
        <v>250</v>
      </c>
      <c r="J34">
        <f t="shared" si="16"/>
        <v>0</v>
      </c>
      <c r="K34">
        <f t="shared" si="17"/>
        <v>-100</v>
      </c>
      <c r="L34" s="9">
        <f t="shared" si="0"/>
        <v>0.30831866797342034</v>
      </c>
      <c r="M34" s="11">
        <f t="shared" si="1"/>
        <v>0.30831866797342034</v>
      </c>
      <c r="N34" s="10">
        <f>SUMPRODUCT(I35:I$54, L35:L$54) / L34</f>
        <v>1112.955582754051</v>
      </c>
      <c r="O34" s="10">
        <f>SUMPRODUCT(J35:J$54, M35:M$54) / M34</f>
        <v>9.1385040139514771E-4</v>
      </c>
      <c r="P34" s="10">
        <f>SUMPRODUCT(K35:K$54, M35:M$54) / M34</f>
        <v>-1359.032634496768</v>
      </c>
      <c r="Q34" s="10" cm="1">
        <f t="array" ref="Q34">IF($H34 &gt;= $B$12 - 1, 0, SUMPRODUCT(I35:I$54*L35:L$54, $H35:$H$54 - $H34) / L34 /N34) / (1 + $B$10)</f>
        <v>2.8092411667026544</v>
      </c>
      <c r="R34" s="10" cm="1">
        <f t="array" ref="R34">SUMPRODUCT(J35:J$54*L35:L$54, $H35:$H$54 - $H34) / L34 /O34 / (1 + $B$10)</f>
        <v>11.80008400085101</v>
      </c>
      <c r="S34" s="10" cm="1">
        <f t="array" ref="S34">SUMPRODUCT(K35:K$54*M35:M$54, $H35:$H$54 - $H34) / M34 /P34 / (1 + $B$10)</f>
        <v>8.854927726620728</v>
      </c>
      <c r="T34" s="10">
        <f t="shared" si="36"/>
        <v>0</v>
      </c>
      <c r="U34" s="10">
        <f t="shared" si="37"/>
        <v>150</v>
      </c>
      <c r="V34" s="10">
        <f t="shared" si="18"/>
        <v>-246.0761378923155</v>
      </c>
      <c r="W34">
        <f t="shared" si="42"/>
        <v>9729.9235048323044</v>
      </c>
      <c r="X34" s="10">
        <f t="shared" ref="X34:X35" si="43">V34 + W34</f>
        <v>9483.8473669399882</v>
      </c>
      <c r="Y34" s="10">
        <f t="shared" si="2"/>
        <v>1112.955582754051</v>
      </c>
      <c r="Z34">
        <f t="shared" si="3"/>
        <v>0</v>
      </c>
      <c r="AA34" s="10">
        <f t="shared" si="4"/>
        <v>169.00327782617421</v>
      </c>
      <c r="AB34" s="10">
        <f t="shared" si="5"/>
        <v>943.95230492787675</v>
      </c>
      <c r="AC34" s="10">
        <f t="shared" si="6"/>
        <v>5.8289251354995441E-4</v>
      </c>
      <c r="AD34" s="10">
        <f t="shared" si="7"/>
        <v>3.309578878451933E-4</v>
      </c>
      <c r="AE34">
        <f t="shared" si="20"/>
        <v>-650.49382468042404</v>
      </c>
      <c r="AF34" s="10">
        <f t="shared" si="8"/>
        <v>-708.53880981634393</v>
      </c>
      <c r="AG34" s="10">
        <f t="shared" si="21"/>
        <v>-481.48996396173629</v>
      </c>
      <c r="AH34" s="10">
        <f t="shared" si="22"/>
        <v>235.41382606942068</v>
      </c>
      <c r="AI34">
        <f t="shared" si="9"/>
        <v>2927.1133848580216</v>
      </c>
      <c r="AJ34">
        <f t="shared" si="10"/>
        <v>1463.5566924290108</v>
      </c>
      <c r="AK34" s="10">
        <f t="shared" si="11"/>
        <v>5093.1772896529565</v>
      </c>
      <c r="AL34" s="4">
        <f t="shared" si="23"/>
        <v>0.30864197530864196</v>
      </c>
      <c r="AM34">
        <f t="shared" si="12"/>
        <v>2927.1133848580216</v>
      </c>
      <c r="AN34" s="10">
        <f t="shared" si="24"/>
        <v>1945.0466563907471</v>
      </c>
      <c r="AO34" s="10">
        <f t="shared" si="24"/>
        <v>4857.7634635835357</v>
      </c>
      <c r="AP34" s="10">
        <f t="shared" si="25"/>
        <v>6802.8101199742832</v>
      </c>
      <c r="AQ34" s="9">
        <f t="shared" si="26"/>
        <v>0.28591811649714249</v>
      </c>
      <c r="AR34" s="9">
        <f t="shared" si="27"/>
        <v>0.7140818835028574</v>
      </c>
      <c r="AS34">
        <f t="shared" si="39"/>
        <v>2927.1133848580216</v>
      </c>
      <c r="AT34">
        <f t="shared" si="40"/>
        <v>1945.0466563907471</v>
      </c>
      <c r="AU34">
        <f t="shared" si="41"/>
        <v>4857.7634635835366</v>
      </c>
      <c r="AV34">
        <f t="shared" si="31"/>
        <v>0.30083621761304585</v>
      </c>
      <c r="AW34">
        <f t="shared" si="32"/>
        <v>0.19990359178309591</v>
      </c>
      <c r="AX34">
        <f t="shared" si="33"/>
        <v>0.49926019060385812</v>
      </c>
      <c r="AY34" s="3">
        <f t="shared" si="13"/>
        <v>4.8015760270091877E-2</v>
      </c>
      <c r="AZ34">
        <f t="shared" si="14"/>
        <v>4.2270295770704116E-3</v>
      </c>
      <c r="BA34" s="11">
        <f t="shared" si="34"/>
        <v>4.5902245481556671E-2</v>
      </c>
    </row>
    <row r="35" spans="1:53" x14ac:dyDescent="0.2">
      <c r="H35" s="10">
        <f t="shared" si="35"/>
        <v>31</v>
      </c>
      <c r="I35">
        <f t="shared" si="15"/>
        <v>250</v>
      </c>
      <c r="J35">
        <f t="shared" si="16"/>
        <v>0</v>
      </c>
      <c r="K35">
        <f t="shared" si="17"/>
        <v>-100</v>
      </c>
      <c r="L35" s="9">
        <f t="shared" si="0"/>
        <v>0.29646025766675027</v>
      </c>
      <c r="M35" s="11">
        <f t="shared" si="1"/>
        <v>0.29646025766675027</v>
      </c>
      <c r="N35" s="10">
        <f>SUMPRODUCT(I36:I$54, L36:L$54) / L35</f>
        <v>907.47380606421325</v>
      </c>
      <c r="O35" s="10">
        <f>SUMPRODUCT(J36:J$54, M36:M$54) / M35</f>
        <v>9.5040441745095376E-4</v>
      </c>
      <c r="P35" s="10">
        <f>SUMPRODUCT(K36:K$54, M36:M$54) / M35</f>
        <v>-1313.3939398766393</v>
      </c>
      <c r="Q35" s="10" cm="1">
        <f t="array" ref="Q35">IF($H35 &gt;= $B$12 - 1, 0, SUMPRODUCT(I36:I$54*L36:L$54, $H36:$H$54 - $H35) / L35 /N35) / (1 + $B$10)</f>
        <v>2.3567264072305445</v>
      </c>
      <c r="R35" s="10" cm="1">
        <f t="array" ref="R35">SUMPRODUCT(J36:J$54*L36:L$54, $H36:$H$54 - $H35) / L35 /O35 / (1 + $B$10)</f>
        <v>10.838545539312548</v>
      </c>
      <c r="S35" s="10" cm="1">
        <f t="array" ref="S35">SUMPRODUCT(K36:K$54*M36:M$54, $H36:$H$54 - $H35) / M35 /P35 / (1 + $B$10)</f>
        <v>8.4943810182362078</v>
      </c>
      <c r="T35" s="10">
        <f t="shared" si="36"/>
        <v>0</v>
      </c>
      <c r="U35" s="10">
        <f t="shared" si="37"/>
        <v>150</v>
      </c>
      <c r="V35" s="10">
        <f t="shared" si="18"/>
        <v>-405.91918340800851</v>
      </c>
      <c r="W35">
        <f t="shared" si="42"/>
        <v>10326.548842067887</v>
      </c>
      <c r="X35" s="10">
        <f t="shared" si="43"/>
        <v>9920.6296586598783</v>
      </c>
      <c r="Y35" s="10">
        <f t="shared" si="2"/>
        <v>907.47380606421325</v>
      </c>
      <c r="Z35">
        <f t="shared" si="3"/>
        <v>0</v>
      </c>
      <c r="AA35" s="10">
        <f t="shared" si="4"/>
        <v>115.60364770927251</v>
      </c>
      <c r="AB35" s="10">
        <f t="shared" si="5"/>
        <v>791.87015835494071</v>
      </c>
      <c r="AC35" s="10">
        <f t="shared" si="6"/>
        <v>5.5681089509762029E-4</v>
      </c>
      <c r="AD35" s="10">
        <f t="shared" si="7"/>
        <v>3.9359352235333346E-4</v>
      </c>
      <c r="AE35">
        <f t="shared" si="20"/>
        <v>-603.05235418132929</v>
      </c>
      <c r="AF35" s="10">
        <f t="shared" si="8"/>
        <v>-710.34158569530996</v>
      </c>
      <c r="AG35" s="10">
        <f t="shared" si="21"/>
        <v>-487.44814966116166</v>
      </c>
      <c r="AH35" s="10">
        <f t="shared" si="22"/>
        <v>81.528966253153158</v>
      </c>
      <c r="AI35">
        <f t="shared" si="9"/>
        <v>3061.9227341542837</v>
      </c>
      <c r="AJ35">
        <f t="shared" si="10"/>
        <v>1530.9613670771419</v>
      </c>
      <c r="AK35" s="10">
        <f t="shared" si="11"/>
        <v>5327.7455574284522</v>
      </c>
      <c r="AL35" s="4">
        <f t="shared" si="23"/>
        <v>0.30864197530864201</v>
      </c>
      <c r="AM35">
        <f t="shared" si="12"/>
        <v>3061.9227341542837</v>
      </c>
      <c r="AN35" s="10">
        <f t="shared" si="24"/>
        <v>2018.4095167383034</v>
      </c>
      <c r="AO35" s="10">
        <f t="shared" si="24"/>
        <v>5246.2165911752991</v>
      </c>
      <c r="AP35" s="10">
        <f t="shared" si="25"/>
        <v>7264.626107913602</v>
      </c>
      <c r="AQ35" s="9">
        <f t="shared" si="26"/>
        <v>0.27784079824006108</v>
      </c>
      <c r="AR35" s="9">
        <f t="shared" si="27"/>
        <v>0.72215920175993897</v>
      </c>
      <c r="AS35">
        <f t="shared" si="39"/>
        <v>3061.9227341542837</v>
      </c>
      <c r="AT35">
        <f t="shared" si="40"/>
        <v>2018.4095167383034</v>
      </c>
      <c r="AU35">
        <f t="shared" si="41"/>
        <v>5246.2165911753</v>
      </c>
      <c r="AV35">
        <f t="shared" si="31"/>
        <v>0.29650978085541452</v>
      </c>
      <c r="AW35">
        <f t="shared" si="32"/>
        <v>0.1954582840412071</v>
      </c>
      <c r="AX35">
        <f t="shared" si="33"/>
        <v>0.50803193510337841</v>
      </c>
      <c r="AY35" s="3">
        <f t="shared" si="13"/>
        <v>4.7884778457520365E-2</v>
      </c>
      <c r="AZ35">
        <f t="shared" si="14"/>
        <v>4.0863525065615962E-3</v>
      </c>
      <c r="BA35" s="11">
        <f t="shared" si="34"/>
        <v>4.5841602204239565E-2</v>
      </c>
    </row>
    <row r="36" spans="1:53" x14ac:dyDescent="0.2">
      <c r="H36" s="10">
        <f t="shared" si="35"/>
        <v>32</v>
      </c>
      <c r="I36">
        <f t="shared" si="15"/>
        <v>250</v>
      </c>
      <c r="J36">
        <f t="shared" si="16"/>
        <v>0</v>
      </c>
      <c r="K36">
        <f t="shared" si="17"/>
        <v>-100</v>
      </c>
      <c r="L36" s="9">
        <f t="shared" si="0"/>
        <v>0.28505794006418295</v>
      </c>
      <c r="M36" s="11">
        <f t="shared" si="1"/>
        <v>0.28505794006418295</v>
      </c>
      <c r="N36" s="10">
        <f>SUMPRODUCT(I37:I$54, L37:L$54) / L36</f>
        <v>693.77275830678184</v>
      </c>
      <c r="O36" s="10">
        <f>SUMPRODUCT(J37:J$54, M37:M$54) / M36</f>
        <v>9.88420594148992E-4</v>
      </c>
      <c r="P36" s="10">
        <f>SUMPRODUCT(K37:K$54, M37:M$54) / M36</f>
        <v>-1265.9296974717047</v>
      </c>
      <c r="Q36" s="10" cm="1">
        <f t="array" ref="Q36">IF($H36 &gt;= $B$12 - 1, 0, SUMPRODUCT(I37:I$54*L37:L$54, $H37:$H$54 - $H36) / L36 /N36) / (1 + $B$10)</f>
        <v>1.8979418838465483</v>
      </c>
      <c r="R36" s="10" cm="1">
        <f t="array" ref="R36">SUMPRODUCT(J37:J$54*L37:L$54, $H37:$H$54 - $H36) / L36 /O36 / (1 + $B$10)</f>
        <v>9.8770070777740866</v>
      </c>
      <c r="S36" s="10" cm="1">
        <f t="array" ref="S36">SUMPRODUCT(K37:K$54*M37:M$54, $H37:$H$54 - $H36) / M36 /P36 / (1 + $B$10)</f>
        <v>8.1278868606383394</v>
      </c>
      <c r="T36" s="10">
        <f t="shared" si="36"/>
        <v>0</v>
      </c>
      <c r="U36" s="10">
        <f t="shared" si="37"/>
        <v>150</v>
      </c>
      <c r="V36" s="10">
        <f t="shared" si="18"/>
        <v>-572.15595074432872</v>
      </c>
      <c r="W36">
        <f t="shared" si="42"/>
        <v>10949.934386228613</v>
      </c>
      <c r="X36" s="10">
        <f>V36 + W36</f>
        <v>10377.778435484284</v>
      </c>
      <c r="Y36" s="10">
        <f t="shared" si="2"/>
        <v>693.77275830678184</v>
      </c>
      <c r="Z36">
        <f t="shared" si="3"/>
        <v>0</v>
      </c>
      <c r="AA36" s="10">
        <f t="shared" si="4"/>
        <v>71.175155452010245</v>
      </c>
      <c r="AB36" s="10">
        <f t="shared" si="5"/>
        <v>622.59760285477159</v>
      </c>
      <c r="AC36" s="10">
        <f t="shared" si="6"/>
        <v>5.277101191474195E-4</v>
      </c>
      <c r="AD36" s="10">
        <f t="shared" si="7"/>
        <v>4.607104750015725E-4</v>
      </c>
      <c r="AE36">
        <f t="shared" si="20"/>
        <v>-556.18018132822363</v>
      </c>
      <c r="AF36" s="10">
        <f t="shared" si="8"/>
        <v>-709.74951614348106</v>
      </c>
      <c r="AG36" s="10">
        <f t="shared" si="21"/>
        <v>-485.00449816609421</v>
      </c>
      <c r="AH36" s="10">
        <f t="shared" si="22"/>
        <v>-87.151452578234512</v>
      </c>
      <c r="AI36">
        <f t="shared" si="9"/>
        <v>3203.0180356432979</v>
      </c>
      <c r="AJ36">
        <f t="shared" si="10"/>
        <v>1601.509017821649</v>
      </c>
      <c r="AK36" s="10">
        <f t="shared" si="11"/>
        <v>5573.2513820193381</v>
      </c>
      <c r="AL36" s="4">
        <f t="shared" si="23"/>
        <v>0.30864197530864201</v>
      </c>
      <c r="AM36">
        <f t="shared" si="12"/>
        <v>3203.0180356432979</v>
      </c>
      <c r="AN36" s="10">
        <f t="shared" si="24"/>
        <v>2086.5135159877432</v>
      </c>
      <c r="AO36" s="10">
        <f t="shared" si="24"/>
        <v>5660.402834597573</v>
      </c>
      <c r="AP36" s="10">
        <f t="shared" si="25"/>
        <v>7746.9163505853157</v>
      </c>
      <c r="AQ36" s="9">
        <f t="shared" si="26"/>
        <v>0.26933471610676385</v>
      </c>
      <c r="AR36" s="9">
        <f t="shared" si="27"/>
        <v>0.73066528389323615</v>
      </c>
      <c r="AS36">
        <f t="shared" si="39"/>
        <v>3203.0180356432979</v>
      </c>
      <c r="AT36">
        <f t="shared" si="40"/>
        <v>2086.5135159877432</v>
      </c>
      <c r="AU36">
        <f t="shared" si="41"/>
        <v>5660.402834597573</v>
      </c>
      <c r="AV36">
        <f t="shared" si="31"/>
        <v>0.29251481540123492</v>
      </c>
      <c r="AW36">
        <f t="shared" si="32"/>
        <v>0.1905503213436498</v>
      </c>
      <c r="AX36">
        <f t="shared" si="33"/>
        <v>0.51693486325511517</v>
      </c>
      <c r="AY36" s="3">
        <f t="shared" si="13"/>
        <v>4.7755799521461195E-2</v>
      </c>
      <c r="AZ36">
        <f t="shared" si="14"/>
        <v>3.9487286870657301E-3</v>
      </c>
      <c r="BA36" s="11">
        <f t="shared" si="34"/>
        <v>4.5781435177928327E-2</v>
      </c>
    </row>
    <row r="37" spans="1:53" x14ac:dyDescent="0.2">
      <c r="H37" s="10">
        <f t="shared" si="35"/>
        <v>33</v>
      </c>
      <c r="I37">
        <f t="shared" si="15"/>
        <v>250</v>
      </c>
      <c r="J37">
        <f t="shared" si="16"/>
        <v>0</v>
      </c>
      <c r="K37">
        <f t="shared" si="17"/>
        <v>-100</v>
      </c>
      <c r="L37" s="9">
        <f t="shared" si="0"/>
        <v>0.27409417313863743</v>
      </c>
      <c r="M37" s="11">
        <f t="shared" si="1"/>
        <v>0.27409417313863743</v>
      </c>
      <c r="N37" s="10">
        <f>SUMPRODUCT(I38:I$54, L38:L$54) / L37</f>
        <v>471.5236686390532</v>
      </c>
      <c r="O37" s="10">
        <f>SUMPRODUCT(J38:J$54, M38:M$54) / M37</f>
        <v>1.0279574179149517E-3</v>
      </c>
      <c r="P37" s="10">
        <f>SUMPRODUCT(K38:K$54, M38:M$54) / M37</f>
        <v>-1216.5668853705731</v>
      </c>
      <c r="Q37" s="10" cm="1">
        <f t="array" ref="Q37">IF($H37 &gt;= $B$12 - 1, 0, SUMPRODUCT(I38:I$54*L38:L$54, $H38:$H$54 - $H37) / L37 /N37) / (1 + $B$10)</f>
        <v>1.4328808446455505</v>
      </c>
      <c r="R37" s="10" cm="1">
        <f t="array" ref="R37">SUMPRODUCT(J38:J$54*L38:L$54, $H38:$H$54 - $H37) / L37 /O37 / (1 + $B$10)</f>
        <v>8.9154686162356267</v>
      </c>
      <c r="S37" s="10" cm="1">
        <f t="array" ref="S37">SUMPRODUCT(K38:K$54*M38:M$54, $H38:$H$54 - $H37) / M37 /P37 / (1 + $B$10)</f>
        <v>7.7554116462814724</v>
      </c>
      <c r="T37" s="10">
        <f t="shared" si="36"/>
        <v>0</v>
      </c>
      <c r="U37" s="10">
        <f t="shared" si="37"/>
        <v>150</v>
      </c>
      <c r="V37" s="10">
        <f t="shared" si="18"/>
        <v>-745.04218877410199</v>
      </c>
      <c r="W37">
        <f t="shared" si="42"/>
        <v>11601.238097534308</v>
      </c>
      <c r="X37" s="10">
        <f t="shared" ref="X37:X50" si="44">V37 + W37</f>
        <v>10856.195908760206</v>
      </c>
      <c r="Y37" s="10">
        <f t="shared" si="2"/>
        <v>471.5236686390532</v>
      </c>
      <c r="Z37">
        <f t="shared" si="3"/>
        <v>0</v>
      </c>
      <c r="AA37" s="10">
        <f t="shared" si="4"/>
        <v>36.520931491345692</v>
      </c>
      <c r="AB37" s="10">
        <f t="shared" si="5"/>
        <v>435.00273714770753</v>
      </c>
      <c r="AC37" s="10">
        <f t="shared" si="6"/>
        <v>4.9539038368904664E-4</v>
      </c>
      <c r="AD37" s="10">
        <f t="shared" si="7"/>
        <v>5.3256703422590505E-4</v>
      </c>
      <c r="AE37">
        <f t="shared" si="20"/>
        <v>-509.99875628558488</v>
      </c>
      <c r="AF37" s="10">
        <f t="shared" si="8"/>
        <v>-706.56812908498819</v>
      </c>
      <c r="AG37" s="10">
        <f t="shared" si="21"/>
        <v>-473.47732940385549</v>
      </c>
      <c r="AH37" s="10">
        <f t="shared" si="22"/>
        <v>-271.56485937024638</v>
      </c>
      <c r="AI37">
        <f t="shared" si="9"/>
        <v>3350.6777496173481</v>
      </c>
      <c r="AJ37">
        <f t="shared" si="10"/>
        <v>1675.3388748086741</v>
      </c>
      <c r="AK37" s="10">
        <f t="shared" si="11"/>
        <v>5830.1792843341846</v>
      </c>
      <c r="AL37" s="4">
        <f t="shared" si="23"/>
        <v>0.30864197530864201</v>
      </c>
      <c r="AM37">
        <f t="shared" si="12"/>
        <v>3350.6777496173481</v>
      </c>
      <c r="AN37" s="10">
        <f t="shared" si="24"/>
        <v>2148.8162042125296</v>
      </c>
      <c r="AO37" s="10">
        <f t="shared" si="24"/>
        <v>6101.7441437044308</v>
      </c>
      <c r="AP37" s="10">
        <f t="shared" si="25"/>
        <v>8250.5603479169604</v>
      </c>
      <c r="AQ37" s="9">
        <f t="shared" si="26"/>
        <v>0.26044488054136183</v>
      </c>
      <c r="AR37" s="9">
        <f t="shared" si="27"/>
        <v>0.73955511945863817</v>
      </c>
      <c r="AS37">
        <f t="shared" si="39"/>
        <v>3350.6777496173481</v>
      </c>
      <c r="AT37">
        <f t="shared" si="40"/>
        <v>2148.8162042125296</v>
      </c>
      <c r="AU37">
        <f t="shared" si="41"/>
        <v>6101.744143704429</v>
      </c>
      <c r="AV37">
        <f t="shared" si="31"/>
        <v>0.28882070357037937</v>
      </c>
      <c r="AW37">
        <f t="shared" si="32"/>
        <v>0.18522300690210233</v>
      </c>
      <c r="AX37">
        <f t="shared" si="33"/>
        <v>0.52595628952751827</v>
      </c>
      <c r="AY37" s="3">
        <f t="shared" si="13"/>
        <v>4.7628644140428611E-2</v>
      </c>
      <c r="AZ37">
        <f t="shared" si="14"/>
        <v>3.8142887395345437E-3</v>
      </c>
      <c r="BA37" s="11">
        <f t="shared" si="34"/>
        <v>4.5721499770661339E-2</v>
      </c>
    </row>
    <row r="38" spans="1:53" x14ac:dyDescent="0.2">
      <c r="H38" s="10">
        <f t="shared" si="35"/>
        <v>34</v>
      </c>
      <c r="I38">
        <f t="shared" si="15"/>
        <v>250</v>
      </c>
      <c r="J38">
        <f t="shared" si="16"/>
        <v>0</v>
      </c>
      <c r="K38">
        <f t="shared" si="17"/>
        <v>-100</v>
      </c>
      <c r="L38" s="9">
        <f t="shared" si="0"/>
        <v>0.26355208955638215</v>
      </c>
      <c r="M38" s="11">
        <f t="shared" si="1"/>
        <v>0.26355208955638215</v>
      </c>
      <c r="N38" s="10">
        <f>SUMPRODUCT(I39:I$54, L39:L$54) / L38</f>
        <v>240.38461538461533</v>
      </c>
      <c r="O38" s="10">
        <f>SUMPRODUCT(J39:J$54, M39:M$54) / M38</f>
        <v>1.0690757146315497E-3</v>
      </c>
      <c r="P38" s="10">
        <f>SUMPRODUCT(K39:K$54, M39:M$54) / M38</f>
        <v>-1165.229560785396</v>
      </c>
      <c r="Q38" s="10" cm="1">
        <f t="array" ref="Q38">IF($H38 &gt;= $B$12 - 1, 0, SUMPRODUCT(I39:I$54*L39:L$54, $H39:$H$54 - $H38) / L38 /N38) / (1 + $B$10)</f>
        <v>0.96153846153846145</v>
      </c>
      <c r="R38" s="10" cm="1">
        <f t="array" ref="R38">SUMPRODUCT(J39:J$54*L39:L$54, $H39:$H$54 - $H38) / L38 /O38 / (1 + $B$10)</f>
        <v>7.9539301546971641</v>
      </c>
      <c r="S38" s="10" cm="1">
        <f t="array" ref="S38">SUMPRODUCT(K39:K$54*M39:M$54, $H39:$H$54 - $H38) / M38 /P38 / (1 + $B$10)</f>
        <v>7.3769233761717059</v>
      </c>
      <c r="T38" s="10">
        <f t="shared" si="36"/>
        <v>0</v>
      </c>
      <c r="U38" s="10">
        <f t="shared" si="37"/>
        <v>150</v>
      </c>
      <c r="V38" s="10">
        <f t="shared" si="18"/>
        <v>-924.84387632506605</v>
      </c>
      <c r="W38">
        <f t="shared" si="42"/>
        <v>12281.66410255011</v>
      </c>
      <c r="X38" s="10">
        <f t="shared" si="44"/>
        <v>11356.820226225045</v>
      </c>
      <c r="Y38" s="10">
        <f t="shared" si="2"/>
        <v>240.38461538461533</v>
      </c>
      <c r="Z38">
        <f t="shared" si="3"/>
        <v>0</v>
      </c>
      <c r="AA38" s="10">
        <f t="shared" si="4"/>
        <v>12.494002878618259</v>
      </c>
      <c r="AB38" s="10">
        <f t="shared" si="5"/>
        <v>227.89061250599707</v>
      </c>
      <c r="AC38" s="10">
        <f t="shared" si="6"/>
        <v>4.5964073320336779E-4</v>
      </c>
      <c r="AD38" s="10">
        <f t="shared" si="7"/>
        <v>6.0943498142818195E-4</v>
      </c>
      <c r="AE38">
        <f t="shared" si="20"/>
        <v>-464.63833435481496</v>
      </c>
      <c r="AF38" s="10">
        <f t="shared" si="8"/>
        <v>-700.59122643058095</v>
      </c>
      <c r="AG38" s="10">
        <f t="shared" si="21"/>
        <v>-452.14387183546347</v>
      </c>
      <c r="AH38" s="10">
        <f t="shared" si="22"/>
        <v>-472.70000448960241</v>
      </c>
      <c r="AI38">
        <f t="shared" si="9"/>
        <v>3505.1914278472368</v>
      </c>
      <c r="AJ38">
        <f t="shared" si="10"/>
        <v>1752.5957139236184</v>
      </c>
      <c r="AK38" s="10">
        <f t="shared" si="11"/>
        <v>6099.0330844541895</v>
      </c>
      <c r="AL38" s="4">
        <f t="shared" si="23"/>
        <v>0.30864197530864201</v>
      </c>
      <c r="AM38">
        <f t="shared" si="12"/>
        <v>3505.1914278472368</v>
      </c>
      <c r="AN38" s="10">
        <f t="shared" si="24"/>
        <v>2204.7395857590818</v>
      </c>
      <c r="AO38" s="10">
        <f t="shared" si="24"/>
        <v>6571.7330889437917</v>
      </c>
      <c r="AP38" s="10">
        <f t="shared" si="25"/>
        <v>8776.4726747028726</v>
      </c>
      <c r="AQ38" s="9">
        <f t="shared" si="26"/>
        <v>0.25121021479551559</v>
      </c>
      <c r="AR38" s="9">
        <f t="shared" si="27"/>
        <v>0.74878978520448447</v>
      </c>
      <c r="AS38">
        <f t="shared" si="39"/>
        <v>3505.1914278472368</v>
      </c>
      <c r="AT38">
        <f t="shared" si="40"/>
        <v>2204.7395857590818</v>
      </c>
      <c r="AU38">
        <f t="shared" si="41"/>
        <v>6571.7330889437908</v>
      </c>
      <c r="AV38">
        <f t="shared" si="31"/>
        <v>0.28540036582822964</v>
      </c>
      <c r="AW38">
        <f t="shared" si="32"/>
        <v>0.17951472759308731</v>
      </c>
      <c r="AX38">
        <f t="shared" si="33"/>
        <v>0.53508490657868313</v>
      </c>
      <c r="AY38" s="3">
        <f t="shared" si="13"/>
        <v>4.7503154592495468E-2</v>
      </c>
      <c r="AZ38">
        <f t="shared" si="14"/>
        <v>3.6831965621017277E-3</v>
      </c>
      <c r="BA38" s="11">
        <f t="shared" si="34"/>
        <v>4.5661556311444605E-2</v>
      </c>
    </row>
    <row r="39" spans="1:53" x14ac:dyDescent="0.2">
      <c r="H39" s="10">
        <f t="shared" si="35"/>
        <v>35</v>
      </c>
      <c r="I39">
        <f t="shared" si="15"/>
        <v>250</v>
      </c>
      <c r="J39">
        <f t="shared" si="16"/>
        <v>0</v>
      </c>
      <c r="K39">
        <f t="shared" si="17"/>
        <v>-100</v>
      </c>
      <c r="L39" s="9">
        <f t="shared" si="0"/>
        <v>0.25341547072729048</v>
      </c>
      <c r="M39" s="11">
        <f t="shared" si="1"/>
        <v>0.25341547072729048</v>
      </c>
      <c r="N39" s="10">
        <f>SUMPRODUCT(I40:I$54, L40:L$54) / L39</f>
        <v>0</v>
      </c>
      <c r="O39" s="10">
        <f>SUMPRODUCT(J40:J$54, M40:M$54) / M39</f>
        <v>1.1118387432168119E-3</v>
      </c>
      <c r="P39" s="10">
        <f>SUMPRODUCT(K40:K$54, M40:M$54) / M39</f>
        <v>-1111.838743216812</v>
      </c>
      <c r="Q39" s="10" cm="1">
        <f t="array" ref="Q39">IF($H39 &gt;= $B$12 - 1, 0, SUMPRODUCT(I40:I$54*L40:L$54, $H40:$H$54 - $H39) / L39 /N39) / (1 + $B$10)</f>
        <v>0</v>
      </c>
      <c r="R39" s="10" cm="1">
        <f t="array" ref="R39">SUMPRODUCT(J40:J$54*L40:L$54, $H40:$H$54 - $H39) / L39 /O39 / (1 + $B$10)</f>
        <v>6.9923916931587042</v>
      </c>
      <c r="S39" s="10" cm="1">
        <f t="array" ref="S39">SUMPRODUCT(K40:K$54*M40:M$54, $H40:$H$54 - $H39) / M39 /P39 / (1 + $B$10)</f>
        <v>6.9923916931587025</v>
      </c>
      <c r="T39" s="10">
        <f t="shared" si="36"/>
        <v>0</v>
      </c>
      <c r="U39" s="10">
        <f t="shared" si="37"/>
        <v>150</v>
      </c>
      <c r="V39" s="10">
        <f t="shared" si="18"/>
        <v>-1111.8376313780686</v>
      </c>
      <c r="W39">
        <f>W38 * (1+BA38) + U39</f>
        <v>12992.463999566949</v>
      </c>
      <c r="X39" s="10">
        <f t="shared" si="44"/>
        <v>11880.626368188881</v>
      </c>
      <c r="Y39" s="10">
        <f t="shared" si="2"/>
        <v>0</v>
      </c>
      <c r="Z39">
        <f t="shared" si="3"/>
        <v>0</v>
      </c>
      <c r="AA39" s="10">
        <f t="shared" si="4"/>
        <v>0</v>
      </c>
      <c r="AB39" s="10">
        <f t="shared" si="5"/>
        <v>0</v>
      </c>
      <c r="AC39" s="10">
        <f t="shared" si="6"/>
        <v>4.2023848606493236E-4</v>
      </c>
      <c r="AD39" s="10">
        <f t="shared" si="7"/>
        <v>6.9160025715187955E-4</v>
      </c>
      <c r="AE39">
        <f t="shared" si="20"/>
        <v>-420.23848606493232</v>
      </c>
      <c r="AF39" s="10">
        <f t="shared" si="8"/>
        <v>-691.60025715187965</v>
      </c>
      <c r="AG39" s="10">
        <f t="shared" si="21"/>
        <v>-420.23806582644625</v>
      </c>
      <c r="AH39" s="10">
        <f t="shared" si="22"/>
        <v>-691.5995655516225</v>
      </c>
      <c r="AI39">
        <f t="shared" si="9"/>
        <v>3666.8599901817538</v>
      </c>
      <c r="AJ39">
        <f t="shared" si="10"/>
        <v>1833.4299950908769</v>
      </c>
      <c r="AK39" s="10">
        <f t="shared" si="11"/>
        <v>6380.3363829162499</v>
      </c>
      <c r="AL39" s="4">
        <f t="shared" si="23"/>
        <v>0.30864197530864201</v>
      </c>
      <c r="AM39">
        <f t="shared" si="12"/>
        <v>3666.8599901817538</v>
      </c>
      <c r="AN39" s="10">
        <f t="shared" si="24"/>
        <v>2253.6680609173231</v>
      </c>
      <c r="AO39" s="10">
        <f t="shared" si="24"/>
        <v>7071.9359484678725</v>
      </c>
      <c r="AP39" s="10">
        <f t="shared" si="25"/>
        <v>9325.6040093851952</v>
      </c>
      <c r="AQ39" s="9">
        <f t="shared" si="26"/>
        <v>0.24166456764079344</v>
      </c>
      <c r="AR39" s="9">
        <f t="shared" si="27"/>
        <v>0.75833543235920664</v>
      </c>
      <c r="AS39">
        <f t="shared" si="39"/>
        <v>3666.8599901817538</v>
      </c>
      <c r="AT39">
        <f t="shared" si="40"/>
        <v>2253.6680609173231</v>
      </c>
      <c r="AU39">
        <f t="shared" si="41"/>
        <v>7071.9359484678716</v>
      </c>
      <c r="AV39">
        <f t="shared" si="31"/>
        <v>0.28222975952090179</v>
      </c>
      <c r="AW39">
        <f t="shared" si="32"/>
        <v>0.17345963483080962</v>
      </c>
      <c r="AX39">
        <f t="shared" si="33"/>
        <v>0.54431060564828859</v>
      </c>
      <c r="AY39" s="3">
        <f t="shared" si="13"/>
        <v>4.7379191538726134E-2</v>
      </c>
      <c r="AZ39">
        <f t="shared" si="14"/>
        <v>3.5556369792255891E-3</v>
      </c>
      <c r="BA39" s="11">
        <f t="shared" si="34"/>
        <v>4.5601373049113339E-2</v>
      </c>
    </row>
    <row r="40" spans="1:53" x14ac:dyDescent="0.2">
      <c r="H40" s="10">
        <f t="shared" si="35"/>
        <v>36</v>
      </c>
      <c r="I40">
        <f t="shared" si="15"/>
        <v>0</v>
      </c>
      <c r="J40">
        <f t="shared" si="16"/>
        <v>1E-4</v>
      </c>
      <c r="K40">
        <f t="shared" si="17"/>
        <v>-100</v>
      </c>
      <c r="L40" s="9">
        <f t="shared" si="0"/>
        <v>0.24366872185316396</v>
      </c>
      <c r="M40" s="11">
        <f t="shared" si="1"/>
        <v>0.24366872185316396</v>
      </c>
      <c r="N40" s="10">
        <f>SUMPRODUCT(I41:I$54, L41:L$54) / L40</f>
        <v>0</v>
      </c>
      <c r="O40" s="10">
        <f>SUMPRODUCT(J41:J$54, M41:M$54) / M40</f>
        <v>1.0563122929454843E-3</v>
      </c>
      <c r="P40" s="10">
        <f>SUMPRODUCT(K41:K$54, M41:M$54) / M40</f>
        <v>-1056.3122929454844</v>
      </c>
      <c r="Q40" s="10" cm="1">
        <f t="array" ref="Q40">IF($H40 &gt;= $B$12 - 1, 0, SUMPRODUCT(I41:I$54*L41:L$54, $H41:$H$54 - $H40) / L40 /N40) / (1 + $B$10)</f>
        <v>0</v>
      </c>
      <c r="R40" s="10" cm="1">
        <f t="array" ref="R40">SUMPRODUCT(J41:J$54*L41:L$54, $H41:$H$54 - $H40) / L40 /O40 / (1 + $B$10)</f>
        <v>6.6017879137115996</v>
      </c>
      <c r="S40" s="10" cm="1">
        <f t="array" ref="S40">SUMPRODUCT(K41:K$54*M41:M$54, $H41:$H$54 - $H40) / M40 /P40 / (1 + $B$10)</f>
        <v>6.6017879137115987</v>
      </c>
      <c r="T40" s="10">
        <f t="shared" si="36"/>
        <v>0</v>
      </c>
      <c r="U40" s="10">
        <f t="shared" si="37"/>
        <v>-99.999899999999997</v>
      </c>
      <c r="V40" s="10">
        <f t="shared" si="18"/>
        <v>-1056.3112366331914</v>
      </c>
      <c r="W40">
        <f t="shared" ref="W40:W54" si="45">W39 * (1+BA39) + U40</f>
        <v>13484.938297238377</v>
      </c>
      <c r="X40" s="10">
        <f t="shared" si="44"/>
        <v>12428.627060605186</v>
      </c>
      <c r="Y40" s="10">
        <f t="shared" si="2"/>
        <v>0</v>
      </c>
      <c r="Z40">
        <f t="shared" si="3"/>
        <v>0</v>
      </c>
      <c r="AA40" s="10">
        <f t="shared" si="4"/>
        <v>0</v>
      </c>
      <c r="AB40" s="10">
        <f t="shared" si="5"/>
        <v>0</v>
      </c>
      <c r="AC40" s="10">
        <f t="shared" si="6"/>
        <v>3.7694863398229651E-4</v>
      </c>
      <c r="AD40" s="10">
        <f t="shared" si="7"/>
        <v>6.7936365896318772E-4</v>
      </c>
      <c r="AE40">
        <f t="shared" si="20"/>
        <v>-376.94863398229649</v>
      </c>
      <c r="AF40" s="10">
        <f t="shared" si="8"/>
        <v>-679.36365896318785</v>
      </c>
      <c r="AG40" s="10">
        <f t="shared" si="21"/>
        <v>-376.94825703366251</v>
      </c>
      <c r="AH40" s="10">
        <f t="shared" si="22"/>
        <v>-679.3629795995289</v>
      </c>
      <c r="AI40">
        <f t="shared" si="9"/>
        <v>3835.9960063596259</v>
      </c>
      <c r="AJ40">
        <f t="shared" si="10"/>
        <v>1917.9980031798129</v>
      </c>
      <c r="AK40" s="10">
        <f t="shared" si="11"/>
        <v>6674.6330510657463</v>
      </c>
      <c r="AL40" s="4">
        <f t="shared" si="23"/>
        <v>0.30864197530864207</v>
      </c>
      <c r="AM40">
        <f t="shared" si="12"/>
        <v>3835.9960063596259</v>
      </c>
      <c r="AN40" s="10">
        <f>AJ40 - AG40</f>
        <v>2294.9462602134754</v>
      </c>
      <c r="AO40" s="10">
        <f t="shared" si="24"/>
        <v>7353.9960306652756</v>
      </c>
      <c r="AP40" s="10">
        <f t="shared" si="25"/>
        <v>9648.942290878751</v>
      </c>
      <c r="AQ40" s="9">
        <f t="shared" si="26"/>
        <v>0.23784433474982153</v>
      </c>
      <c r="AR40" s="9">
        <f t="shared" si="27"/>
        <v>0.76215566525017853</v>
      </c>
      <c r="AS40">
        <f t="shared" si="39"/>
        <v>3835.9960063596259</v>
      </c>
      <c r="AT40">
        <f t="shared" si="40"/>
        <v>2294.9462602134754</v>
      </c>
      <c r="AU40">
        <f t="shared" si="41"/>
        <v>7353.9960306652756</v>
      </c>
      <c r="AV40">
        <f t="shared" si="31"/>
        <v>0.28446522496474541</v>
      </c>
      <c r="AW40">
        <f t="shared" si="32"/>
        <v>0.17018589255862332</v>
      </c>
      <c r="AX40">
        <f t="shared" si="33"/>
        <v>0.54534888247663127</v>
      </c>
      <c r="AY40" s="3">
        <f t="shared" si="13"/>
        <v>4.7391163424881144E-2</v>
      </c>
      <c r="AZ40">
        <f t="shared" si="14"/>
        <v>3.5602319525830789E-3</v>
      </c>
      <c r="BA40" s="11">
        <f t="shared" si="34"/>
        <v>4.5611047448589605E-2</v>
      </c>
    </row>
    <row r="41" spans="1:53" x14ac:dyDescent="0.2">
      <c r="H41" s="10">
        <f t="shared" si="35"/>
        <v>37</v>
      </c>
      <c r="I41">
        <f t="shared" si="15"/>
        <v>0</v>
      </c>
      <c r="J41">
        <f t="shared" si="16"/>
        <v>1E-4</v>
      </c>
      <c r="K41">
        <f t="shared" si="17"/>
        <v>-100</v>
      </c>
      <c r="L41" s="9">
        <f t="shared" si="0"/>
        <v>0.23429684793573452</v>
      </c>
      <c r="M41" s="11">
        <f t="shared" si="1"/>
        <v>0.23429684793573452</v>
      </c>
      <c r="N41" s="10">
        <f>SUMPRODUCT(I42:I$54, L42:L$54) / L41</f>
        <v>0</v>
      </c>
      <c r="O41" s="10">
        <f>SUMPRODUCT(J42:J$54, M42:M$54) / M41</f>
        <v>9.985647846633037E-4</v>
      </c>
      <c r="P41" s="10">
        <f>SUMPRODUCT(K42:K$54, M42:M$54) / M41</f>
        <v>-998.56478466330395</v>
      </c>
      <c r="Q41" s="10" cm="1">
        <f t="array" ref="Q41">IF($H41 &gt;= $B$12 - 1, 0, SUMPRODUCT(I42:I$54*L42:L$54, $H42:$H$54 - $H41) / L41 /N41) / (1 + $B$10)</f>
        <v>0</v>
      </c>
      <c r="R41" s="10" cm="1">
        <f t="array" ref="R41">SUMPRODUCT(J42:J$54*L42:L$54, $H42:$H$54 - $H41) / L41 /O41 / (1 + $B$10)</f>
        <v>6.2050850581148138</v>
      </c>
      <c r="S41" s="10" cm="1">
        <f t="array" ref="S41">SUMPRODUCT(K42:K$54*M42:M$54, $H42:$H$54 - $H41) / M41 /P41 / (1 + $B$10)</f>
        <v>6.2050850581148103</v>
      </c>
      <c r="T41" s="10">
        <f t="shared" si="36"/>
        <v>0</v>
      </c>
      <c r="U41" s="10">
        <f t="shared" si="37"/>
        <v>-99.999899999999997</v>
      </c>
      <c r="V41" s="10">
        <f t="shared" si="18"/>
        <v>-998.56378609851924</v>
      </c>
      <c r="W41">
        <f t="shared" si="45"/>
        <v>14000.000557755018</v>
      </c>
      <c r="X41" s="10">
        <f t="shared" si="44"/>
        <v>13001.436771656499</v>
      </c>
      <c r="Y41" s="10">
        <f t="shared" si="2"/>
        <v>0</v>
      </c>
      <c r="Z41">
        <f t="shared" si="3"/>
        <v>0</v>
      </c>
      <c r="AA41" s="10">
        <f t="shared" si="4"/>
        <v>0</v>
      </c>
      <c r="AB41" s="10">
        <f t="shared" si="5"/>
        <v>0</v>
      </c>
      <c r="AC41" s="10">
        <f t="shared" si="6"/>
        <v>3.3492861756075147E-4</v>
      </c>
      <c r="AD41" s="10">
        <f t="shared" si="7"/>
        <v>6.6363616710255228E-4</v>
      </c>
      <c r="AE41">
        <f t="shared" si="20"/>
        <v>-334.92861756075138</v>
      </c>
      <c r="AF41" s="10">
        <f t="shared" si="8"/>
        <v>-663.63616710255258</v>
      </c>
      <c r="AG41" s="10">
        <f t="shared" si="21"/>
        <v>-334.9282826321338</v>
      </c>
      <c r="AH41" s="10">
        <f t="shared" si="22"/>
        <v>-663.63550346638544</v>
      </c>
      <c r="AI41">
        <f t="shared" si="9"/>
        <v>4012.7891270544756</v>
      </c>
      <c r="AJ41">
        <f t="shared" si="10"/>
        <v>2006.3945635272378</v>
      </c>
      <c r="AK41" s="10">
        <f t="shared" si="11"/>
        <v>6982.2530810747867</v>
      </c>
      <c r="AL41" s="4">
        <f t="shared" si="23"/>
        <v>0.30864197530864201</v>
      </c>
      <c r="AM41">
        <f t="shared" si="12"/>
        <v>4012.7891270544756</v>
      </c>
      <c r="AN41" s="10">
        <f t="shared" ref="AN41:AN54" si="46">AJ41 - AG41</f>
        <v>2341.3228461593717</v>
      </c>
      <c r="AO41" s="10">
        <f t="shared" si="24"/>
        <v>7645.8885845411723</v>
      </c>
      <c r="AP41" s="10">
        <f t="shared" si="25"/>
        <v>9987.2114307005431</v>
      </c>
      <c r="AQ41" s="9">
        <f t="shared" si="26"/>
        <v>0.23443208971847529</v>
      </c>
      <c r="AR41" s="9">
        <f t="shared" si="27"/>
        <v>0.76556791028152482</v>
      </c>
      <c r="AS41">
        <f t="shared" si="39"/>
        <v>4012.7891270544756</v>
      </c>
      <c r="AT41">
        <f t="shared" si="40"/>
        <v>2341.3228461593717</v>
      </c>
      <c r="AU41">
        <f t="shared" si="41"/>
        <v>7645.8885845411714</v>
      </c>
      <c r="AV41">
        <f t="shared" si="31"/>
        <v>0.28662778337045652</v>
      </c>
      <c r="AW41">
        <f t="shared" si="32"/>
        <v>0.16723733949156475</v>
      </c>
      <c r="AX41">
        <f t="shared" si="33"/>
        <v>0.54613487713797881</v>
      </c>
      <c r="AY41" s="3">
        <f t="shared" si="13"/>
        <v>4.7404929062324783E-2</v>
      </c>
      <c r="AZ41">
        <f t="shared" si="14"/>
        <v>3.5680115710105343E-3</v>
      </c>
      <c r="BA41" s="11">
        <f t="shared" si="34"/>
        <v>4.5620923276819512E-2</v>
      </c>
    </row>
    <row r="42" spans="1:53" x14ac:dyDescent="0.2">
      <c r="H42" s="10">
        <f t="shared" si="35"/>
        <v>38</v>
      </c>
      <c r="I42">
        <f t="shared" si="15"/>
        <v>0</v>
      </c>
      <c r="J42">
        <f t="shared" si="16"/>
        <v>1E-4</v>
      </c>
      <c r="K42">
        <f t="shared" si="17"/>
        <v>-100</v>
      </c>
      <c r="L42" s="9">
        <f t="shared" si="0"/>
        <v>0.22528543070743706</v>
      </c>
      <c r="M42" s="11">
        <f t="shared" si="1"/>
        <v>0.22528543070743706</v>
      </c>
      <c r="N42" s="10">
        <f>SUMPRODUCT(I43:I$54, L43:L$54) / L42</f>
        <v>0</v>
      </c>
      <c r="O42" s="10">
        <f>SUMPRODUCT(J43:J$54, M43:M$54) / M42</f>
        <v>9.385073760498359E-4</v>
      </c>
      <c r="P42" s="10">
        <f>SUMPRODUCT(K43:K$54, M43:M$54) / M42</f>
        <v>-938.5073760498359</v>
      </c>
      <c r="Q42" s="10" cm="1">
        <f t="array" ref="Q42">IF($H42 &gt;= $B$12 - 1, 0, SUMPRODUCT(I43:I$54*L43:L$54, $H43:$H$54 - $H42) / L42 /N42) / (1 + $B$10)</f>
        <v>0</v>
      </c>
      <c r="R42" s="10" cm="1">
        <f t="array" ref="R42">SUMPRODUCT(J43:J$54*L43:L$54, $H43:$H$54 - $H42) / L42 /O42 / (1 + $B$10)</f>
        <v>5.8022578790221377</v>
      </c>
      <c r="S42" s="10" cm="1">
        <f t="array" ref="S42">SUMPRODUCT(K43:K$54*M43:M$54, $H43:$H$54 - $H42) / M42 /P42 / (1 + $B$10)</f>
        <v>5.8022578790221377</v>
      </c>
      <c r="T42" s="10">
        <f t="shared" si="36"/>
        <v>0</v>
      </c>
      <c r="U42" s="10">
        <f t="shared" si="37"/>
        <v>-99.999899999999997</v>
      </c>
      <c r="V42" s="10">
        <f t="shared" si="18"/>
        <v>-938.50643754245982</v>
      </c>
      <c r="W42">
        <f t="shared" si="45"/>
        <v>14538.693609075788</v>
      </c>
      <c r="X42" s="10">
        <f t="shared" si="44"/>
        <v>13600.187171533329</v>
      </c>
      <c r="Y42" s="10">
        <f t="shared" si="2"/>
        <v>0</v>
      </c>
      <c r="Z42">
        <f t="shared" si="3"/>
        <v>0</v>
      </c>
      <c r="AA42" s="10">
        <f t="shared" si="4"/>
        <v>0</v>
      </c>
      <c r="AB42" s="10">
        <f t="shared" si="5"/>
        <v>0</v>
      </c>
      <c r="AC42" s="10">
        <f t="shared" si="6"/>
        <v>2.9434928741651638E-4</v>
      </c>
      <c r="AD42" s="10">
        <f t="shared" si="7"/>
        <v>6.4415808863331958E-4</v>
      </c>
      <c r="AE42">
        <f t="shared" si="20"/>
        <v>-294.34928741651635</v>
      </c>
      <c r="AF42" s="10">
        <f t="shared" si="8"/>
        <v>-644.15808863331949</v>
      </c>
      <c r="AG42" s="10">
        <f t="shared" si="21"/>
        <v>-294.34899306722895</v>
      </c>
      <c r="AH42" s="10">
        <f t="shared" si="22"/>
        <v>-644.15744447523082</v>
      </c>
      <c r="AI42">
        <f t="shared" si="9"/>
        <v>4197.5886331892998</v>
      </c>
      <c r="AJ42">
        <f t="shared" si="10"/>
        <v>2098.7943165946499</v>
      </c>
      <c r="AK42" s="10">
        <f t="shared" si="11"/>
        <v>7303.8042217493794</v>
      </c>
      <c r="AL42" s="4">
        <f t="shared" si="23"/>
        <v>0.30864197530864201</v>
      </c>
      <c r="AM42">
        <f t="shared" si="12"/>
        <v>4197.5886331892998</v>
      </c>
      <c r="AN42" s="10">
        <f t="shared" si="46"/>
        <v>2393.1433096618789</v>
      </c>
      <c r="AO42" s="10">
        <f t="shared" si="24"/>
        <v>7947.9616662246099</v>
      </c>
      <c r="AP42" s="10">
        <f t="shared" si="25"/>
        <v>10341.104975886488</v>
      </c>
      <c r="AQ42" s="9">
        <f t="shared" si="26"/>
        <v>0.23142046379397938</v>
      </c>
      <c r="AR42" s="9">
        <f t="shared" si="27"/>
        <v>0.76857953620602071</v>
      </c>
      <c r="AS42">
        <f t="shared" si="39"/>
        <v>4197.5886331892998</v>
      </c>
      <c r="AT42">
        <f t="shared" si="40"/>
        <v>2393.1433096618789</v>
      </c>
      <c r="AU42">
        <f t="shared" si="41"/>
        <v>7947.9616662246099</v>
      </c>
      <c r="AV42">
        <f t="shared" si="31"/>
        <v>0.28871841900354461</v>
      </c>
      <c r="AW42">
        <f t="shared" si="32"/>
        <v>0.16460511336231459</v>
      </c>
      <c r="AX42">
        <f t="shared" si="33"/>
        <v>0.54667646763414079</v>
      </c>
      <c r="AY42" s="3">
        <f t="shared" si="13"/>
        <v>4.7420419513694037E-2</v>
      </c>
      <c r="AZ42">
        <f t="shared" si="14"/>
        <v>3.5786826696684276E-3</v>
      </c>
      <c r="BA42" s="11">
        <f t="shared" si="34"/>
        <v>4.5631078178859821E-2</v>
      </c>
    </row>
    <row r="43" spans="1:53" x14ac:dyDescent="0.2">
      <c r="H43" s="10">
        <f t="shared" si="35"/>
        <v>39</v>
      </c>
      <c r="I43">
        <f t="shared" si="15"/>
        <v>0</v>
      </c>
      <c r="J43">
        <f t="shared" si="16"/>
        <v>1E-4</v>
      </c>
      <c r="K43">
        <f t="shared" si="17"/>
        <v>-100</v>
      </c>
      <c r="L43" s="9">
        <f t="shared" si="0"/>
        <v>0.21662060644945874</v>
      </c>
      <c r="M43" s="11">
        <f t="shared" si="1"/>
        <v>0.21662060644945874</v>
      </c>
      <c r="N43" s="10">
        <f>SUMPRODUCT(I44:I$54, L44:L$54) / L43</f>
        <v>0</v>
      </c>
      <c r="O43" s="10">
        <f>SUMPRODUCT(J44:J$54, M44:M$54) / M43</f>
        <v>8.7604767109182927E-4</v>
      </c>
      <c r="P43" s="10">
        <f>SUMPRODUCT(K44:K$54, M44:M$54) / M43</f>
        <v>-876.04767109182922</v>
      </c>
      <c r="Q43" s="10" cm="1">
        <f t="array" ref="Q43">IF($H43 &gt;= $B$12 - 1, 0, SUMPRODUCT(I44:I$54*L44:L$54, $H44:$H$54 - $H43) / L43 /N43) / (1 + $B$10)</f>
        <v>0</v>
      </c>
      <c r="R43" s="10" cm="1">
        <f t="array" ref="R43">SUMPRODUCT(J44:J$54*L44:L$54, $H44:$H$54 - $H43) / L43 /O43 / (1 + $B$10)</f>
        <v>5.3932828883106261</v>
      </c>
      <c r="S43" s="10" cm="1">
        <f t="array" ref="S43">SUMPRODUCT(K44:K$54*M44:M$54, $H44:$H$54 - $H43) / M43 /P43 / (1 + $B$10)</f>
        <v>5.3932828883106252</v>
      </c>
      <c r="T43" s="10">
        <f t="shared" si="36"/>
        <v>0</v>
      </c>
      <c r="U43" s="10">
        <f t="shared" si="37"/>
        <v>-99.999899999999997</v>
      </c>
      <c r="V43" s="10">
        <f t="shared" si="18"/>
        <v>-876.0467950441581</v>
      </c>
      <c r="W43">
        <f t="shared" si="45"/>
        <v>15102.109973770013</v>
      </c>
      <c r="X43" s="10">
        <f t="shared" si="44"/>
        <v>14226.063178725855</v>
      </c>
      <c r="Y43" s="10">
        <f t="shared" si="2"/>
        <v>0</v>
      </c>
      <c r="Z43">
        <f t="shared" si="3"/>
        <v>0</v>
      </c>
      <c r="AA43" s="10">
        <f t="shared" si="4"/>
        <v>0</v>
      </c>
      <c r="AB43" s="10">
        <f t="shared" si="5"/>
        <v>0</v>
      </c>
      <c r="AC43" s="10">
        <f t="shared" si="6"/>
        <v>2.5539313047805075E-4</v>
      </c>
      <c r="AD43" s="10">
        <f t="shared" si="7"/>
        <v>6.2065454061377857E-4</v>
      </c>
      <c r="AE43">
        <f t="shared" si="20"/>
        <v>-255.39313047805067</v>
      </c>
      <c r="AF43" s="10">
        <f t="shared" si="8"/>
        <v>-620.65454061377852</v>
      </c>
      <c r="AG43" s="10">
        <f t="shared" si="21"/>
        <v>-255.39287508492018</v>
      </c>
      <c r="AH43" s="10">
        <f t="shared" si="22"/>
        <v>-620.6539199592379</v>
      </c>
      <c r="AI43">
        <f t="shared" si="9"/>
        <v>4390.7602403474866</v>
      </c>
      <c r="AJ43">
        <f t="shared" si="10"/>
        <v>2195.3801201737433</v>
      </c>
      <c r="AK43" s="10">
        <f t="shared" si="11"/>
        <v>7639.9228182046254</v>
      </c>
      <c r="AL43" s="4">
        <f t="shared" si="23"/>
        <v>0.30864197530864201</v>
      </c>
      <c r="AM43">
        <f t="shared" si="12"/>
        <v>4390.7602403474866</v>
      </c>
      <c r="AN43" s="10">
        <f t="shared" si="46"/>
        <v>2450.7729952586633</v>
      </c>
      <c r="AO43" s="10">
        <f t="shared" si="24"/>
        <v>8260.5767381638634</v>
      </c>
      <c r="AP43" s="10">
        <f t="shared" si="25"/>
        <v>10711.349733422527</v>
      </c>
      <c r="AQ43" s="9">
        <f t="shared" si="26"/>
        <v>0.22880151019731329</v>
      </c>
      <c r="AR43" s="9">
        <f t="shared" si="27"/>
        <v>0.77119848980268668</v>
      </c>
      <c r="AS43">
        <f t="shared" si="39"/>
        <v>4390.7602403474866</v>
      </c>
      <c r="AT43">
        <f t="shared" si="40"/>
        <v>2450.7729952586633</v>
      </c>
      <c r="AU43">
        <f t="shared" si="41"/>
        <v>8260.5767381638634</v>
      </c>
      <c r="AV43">
        <f t="shared" si="31"/>
        <v>0.29073819803812484</v>
      </c>
      <c r="AW43">
        <f t="shared" si="32"/>
        <v>0.16228017141414477</v>
      </c>
      <c r="AX43">
        <f t="shared" si="33"/>
        <v>0.54698163054773041</v>
      </c>
      <c r="AY43" s="3">
        <f t="shared" si="13"/>
        <v>4.7437565674903946E-2</v>
      </c>
      <c r="AZ43">
        <f t="shared" si="14"/>
        <v>3.5919791441781871E-3</v>
      </c>
      <c r="BA43" s="11">
        <f t="shared" si="34"/>
        <v>4.564157610281485E-2</v>
      </c>
    </row>
    <row r="44" spans="1:53" x14ac:dyDescent="0.2">
      <c r="H44" s="10">
        <f t="shared" si="35"/>
        <v>40</v>
      </c>
      <c r="I44">
        <f t="shared" si="15"/>
        <v>0</v>
      </c>
      <c r="J44">
        <f t="shared" si="16"/>
        <v>1E-4</v>
      </c>
      <c r="K44">
        <f t="shared" si="17"/>
        <v>-100</v>
      </c>
      <c r="L44" s="9">
        <f t="shared" si="0"/>
        <v>0.20828904466294101</v>
      </c>
      <c r="M44" s="11">
        <f t="shared" si="1"/>
        <v>0.20828904466294101</v>
      </c>
      <c r="N44" s="10">
        <f>SUMPRODUCT(I45:I$54, L45:L$54) / L44</f>
        <v>0</v>
      </c>
      <c r="O44" s="10">
        <f>SUMPRODUCT(J45:J$54, M45:M$54) / M44</f>
        <v>8.1108957793550281E-4</v>
      </c>
      <c r="P44" s="10">
        <f>SUMPRODUCT(K45:K$54, M45:M$54) / M44</f>
        <v>-811.0895779355028</v>
      </c>
      <c r="Q44" s="10" cm="1">
        <f t="array" ref="Q44">IF($H44 &gt;= $B$12 - 1, 0, SUMPRODUCT(I45:I$54*L45:L$54, $H45:$H$54 - $H44) / L44 /N44) / (1 + $B$10)</f>
        <v>0</v>
      </c>
      <c r="R44" s="10" cm="1">
        <f t="array" ref="R44">SUMPRODUCT(J45:J$54*L45:L$54, $H45:$H$54 - $H44) / L44 /O44 / (1 + $B$10)</f>
        <v>4.9781383821787237</v>
      </c>
      <c r="S44" s="10" cm="1">
        <f t="array" ref="S44">SUMPRODUCT(K45:K$54*M45:M$54, $H45:$H$54 - $H44) / M44 /P44 / (1 + $B$10)</f>
        <v>4.9781383821787228</v>
      </c>
      <c r="T44" s="10">
        <f t="shared" si="36"/>
        <v>0</v>
      </c>
      <c r="U44" s="10">
        <f t="shared" si="37"/>
        <v>-99.999899999999997</v>
      </c>
      <c r="V44" s="10">
        <f t="shared" si="18"/>
        <v>-811.08876684592485</v>
      </c>
      <c r="W44">
        <f t="shared" si="45"/>
        <v>15691.394175450916</v>
      </c>
      <c r="X44" s="10">
        <f t="shared" si="44"/>
        <v>14880.305408604991</v>
      </c>
      <c r="Y44" s="10">
        <f t="shared" si="2"/>
        <v>0</v>
      </c>
      <c r="Z44">
        <f t="shared" si="3"/>
        <v>0</v>
      </c>
      <c r="AA44" s="10">
        <f t="shared" si="4"/>
        <v>0</v>
      </c>
      <c r="AB44" s="10">
        <f t="shared" si="5"/>
        <v>0</v>
      </c>
      <c r="AC44" s="10">
        <f t="shared" si="6"/>
        <v>2.1825492753004691E-4</v>
      </c>
      <c r="AD44" s="10">
        <f t="shared" si="7"/>
        <v>5.9283465040545593E-4</v>
      </c>
      <c r="AE44">
        <f t="shared" si="20"/>
        <v>-218.25492753004687</v>
      </c>
      <c r="AF44" s="10">
        <f t="shared" si="8"/>
        <v>-592.83465040545593</v>
      </c>
      <c r="AG44" s="10">
        <f t="shared" si="21"/>
        <v>-218.25470927511935</v>
      </c>
      <c r="AH44" s="10">
        <f t="shared" si="22"/>
        <v>-592.8340575708055</v>
      </c>
      <c r="AI44">
        <f t="shared" si="9"/>
        <v>4592.6868545077141</v>
      </c>
      <c r="AJ44">
        <f t="shared" si="10"/>
        <v>2296.343427253857</v>
      </c>
      <c r="AK44" s="10">
        <f t="shared" si="11"/>
        <v>7991.2751268434195</v>
      </c>
      <c r="AL44" s="4">
        <f t="shared" si="23"/>
        <v>0.30864197530864201</v>
      </c>
      <c r="AM44">
        <f t="shared" si="12"/>
        <v>4592.6868545077141</v>
      </c>
      <c r="AN44" s="10">
        <f t="shared" si="46"/>
        <v>2514.5981365289763</v>
      </c>
      <c r="AO44" s="10">
        <f t="shared" si="24"/>
        <v>8584.1091844142247</v>
      </c>
      <c r="AP44" s="10">
        <f t="shared" si="25"/>
        <v>11098.707320943202</v>
      </c>
      <c r="AQ44" s="9">
        <f t="shared" si="26"/>
        <v>0.22656675807496454</v>
      </c>
      <c r="AR44" s="9">
        <f t="shared" si="27"/>
        <v>0.77343324192503538</v>
      </c>
      <c r="AS44">
        <f t="shared" si="39"/>
        <v>4592.6868545077141</v>
      </c>
      <c r="AT44">
        <f t="shared" si="40"/>
        <v>2514.5981365289763</v>
      </c>
      <c r="AU44">
        <f t="shared" si="41"/>
        <v>8584.1091844142247</v>
      </c>
      <c r="AV44">
        <f t="shared" si="31"/>
        <v>0.29268825976553081</v>
      </c>
      <c r="AW44">
        <f t="shared" si="32"/>
        <v>0.16025332793328517</v>
      </c>
      <c r="AX44">
        <f t="shared" si="33"/>
        <v>0.54705841230118413</v>
      </c>
      <c r="AY44" s="3">
        <f t="shared" si="13"/>
        <v>4.7456298474643471E-2</v>
      </c>
      <c r="AZ44">
        <f t="shared" si="14"/>
        <v>3.6076605071918792E-3</v>
      </c>
      <c r="BA44" s="11">
        <f t="shared" si="34"/>
        <v>4.5652468221047529E-2</v>
      </c>
    </row>
    <row r="45" spans="1:53" x14ac:dyDescent="0.2">
      <c r="H45" s="10">
        <f t="shared" si="35"/>
        <v>41</v>
      </c>
      <c r="I45">
        <f t="shared" si="15"/>
        <v>0</v>
      </c>
      <c r="J45">
        <f t="shared" si="16"/>
        <v>1E-4</v>
      </c>
      <c r="K45">
        <f t="shared" si="17"/>
        <v>-100</v>
      </c>
      <c r="L45" s="9">
        <f t="shared" si="0"/>
        <v>0.20027792756052021</v>
      </c>
      <c r="M45" s="11">
        <f t="shared" si="1"/>
        <v>0.20027792756052021</v>
      </c>
      <c r="N45" s="10">
        <f>SUMPRODUCT(I46:I$54, L46:L$54) / L45</f>
        <v>0</v>
      </c>
      <c r="O45" s="10">
        <f>SUMPRODUCT(J46:J$54, M46:M$54) / M45</f>
        <v>7.4353316105292306E-4</v>
      </c>
      <c r="P45" s="10">
        <f>SUMPRODUCT(K46:K$54, M46:M$54) / M45</f>
        <v>-743.53316105292288</v>
      </c>
      <c r="Q45" s="10" cm="1">
        <f t="array" ref="Q45">IF($H45 &gt;= $B$12 - 1, 0, SUMPRODUCT(I46:I$54*L46:L$54, $H46:$H$54 - $H45) / L45 /N45) / (1 + $B$10)</f>
        <v>0</v>
      </c>
      <c r="R45" s="10" cm="1">
        <f t="array" ref="R45">SUMPRODUCT(J46:J$54*L46:L$54, $H46:$H$54 - $H45) / L45 /O45 / (1 + $B$10)</f>
        <v>4.5568044644365751</v>
      </c>
      <c r="S45" s="10" cm="1">
        <f t="array" ref="S45">SUMPRODUCT(K46:K$54*M46:M$54, $H46:$H$54 - $H45) / M45 /P45 / (1 + $B$10)</f>
        <v>4.5568044644365777</v>
      </c>
      <c r="T45" s="10">
        <f t="shared" si="36"/>
        <v>0</v>
      </c>
      <c r="U45" s="10">
        <f t="shared" si="37"/>
        <v>-99.999899999999997</v>
      </c>
      <c r="V45" s="10">
        <f t="shared" si="18"/>
        <v>-743.53241751976179</v>
      </c>
      <c r="W45">
        <f t="shared" si="45"/>
        <v>16307.745149389617</v>
      </c>
      <c r="X45" s="10">
        <f t="shared" si="44"/>
        <v>15564.212731869855</v>
      </c>
      <c r="Y45" s="10">
        <f t="shared" si="2"/>
        <v>0</v>
      </c>
      <c r="Z45">
        <f t="shared" si="3"/>
        <v>0</v>
      </c>
      <c r="AA45" s="10">
        <f t="shared" si="4"/>
        <v>0</v>
      </c>
      <c r="AB45" s="10">
        <f t="shared" si="5"/>
        <v>0</v>
      </c>
      <c r="AC45" s="10">
        <f t="shared" si="6"/>
        <v>1.8314244474284318E-4</v>
      </c>
      <c r="AD45" s="10">
        <f t="shared" si="7"/>
        <v>5.6039071631007985E-4</v>
      </c>
      <c r="AE45">
        <f t="shared" si="20"/>
        <v>-183.14244474284322</v>
      </c>
      <c r="AF45" s="10">
        <f t="shared" si="8"/>
        <v>-560.3907163100796</v>
      </c>
      <c r="AG45" s="10">
        <f t="shared" si="21"/>
        <v>-183.14226160039848</v>
      </c>
      <c r="AH45" s="10">
        <f t="shared" si="22"/>
        <v>-560.39015591936334</v>
      </c>
      <c r="AI45">
        <f t="shared" si="9"/>
        <v>4803.769361688227</v>
      </c>
      <c r="AJ45">
        <f t="shared" si="10"/>
        <v>2401.8846808441135</v>
      </c>
      <c r="AK45" s="10">
        <f t="shared" si="11"/>
        <v>8358.558689337513</v>
      </c>
      <c r="AL45" s="4">
        <f t="shared" si="23"/>
        <v>0.30864197530864201</v>
      </c>
      <c r="AM45">
        <f t="shared" si="12"/>
        <v>4803.769361688227</v>
      </c>
      <c r="AN45" s="10">
        <f t="shared" si="46"/>
        <v>2585.0269424445119</v>
      </c>
      <c r="AO45" s="10">
        <f t="shared" si="24"/>
        <v>8918.9488452568767</v>
      </c>
      <c r="AP45" s="10">
        <f t="shared" si="25"/>
        <v>11503.975787701389</v>
      </c>
      <c r="AQ45" s="9">
        <f t="shared" si="26"/>
        <v>0.22470726557057771</v>
      </c>
      <c r="AR45" s="9">
        <f t="shared" si="27"/>
        <v>0.77529273442942226</v>
      </c>
      <c r="AS45">
        <f t="shared" si="39"/>
        <v>4803.769361688227</v>
      </c>
      <c r="AT45">
        <f t="shared" si="40"/>
        <v>2585.0269424445119</v>
      </c>
      <c r="AU45">
        <f t="shared" si="41"/>
        <v>8918.9488452568785</v>
      </c>
      <c r="AV45">
        <f t="shared" si="31"/>
        <v>0.29456980825261592</v>
      </c>
      <c r="AW45">
        <f t="shared" si="32"/>
        <v>0.15851528943848298</v>
      </c>
      <c r="AX45">
        <f t="shared" si="33"/>
        <v>0.54691490230890116</v>
      </c>
      <c r="AY45" s="3">
        <f t="shared" si="13"/>
        <v>4.7476549059437149E-2</v>
      </c>
      <c r="AZ45">
        <f t="shared" si="14"/>
        <v>3.6255103929998655E-3</v>
      </c>
      <c r="BA45" s="11">
        <f t="shared" si="34"/>
        <v>4.5663793862937216E-2</v>
      </c>
    </row>
    <row r="46" spans="1:53" x14ac:dyDescent="0.2">
      <c r="H46" s="10">
        <f t="shared" si="35"/>
        <v>42</v>
      </c>
      <c r="I46">
        <f t="shared" si="15"/>
        <v>0</v>
      </c>
      <c r="J46">
        <f t="shared" si="16"/>
        <v>1E-4</v>
      </c>
      <c r="K46">
        <f t="shared" si="17"/>
        <v>-100</v>
      </c>
      <c r="L46" s="9">
        <f t="shared" si="0"/>
        <v>0.19257493034665407</v>
      </c>
      <c r="M46" s="11">
        <f t="shared" si="1"/>
        <v>0.19257493034665407</v>
      </c>
      <c r="N46" s="10">
        <f>SUMPRODUCT(I47:I$54, L47:L$54) / L46</f>
        <v>0</v>
      </c>
      <c r="O46" s="10">
        <f>SUMPRODUCT(J47:J$54, M47:M$54) / M46</f>
        <v>6.7327448749503974E-4</v>
      </c>
      <c r="P46" s="10">
        <f>SUMPRODUCT(K47:K$54, M47:M$54) / M46</f>
        <v>-673.27448749503969</v>
      </c>
      <c r="Q46" s="10" cm="1">
        <f t="array" ref="Q46">IF($H46 &gt;= $B$12 - 1, 0, SUMPRODUCT(I47:I$54*L47:L$54, $H47:$H$54 - $H46) / L46 /N46) / (1 + $B$10)</f>
        <v>0</v>
      </c>
      <c r="R46" s="10" cm="1">
        <f t="array" ref="R46">SUMPRODUCT(J47:J$54*L47:L$54, $H47:$H$54 - $H46) / L46 /O46 / (1 + $B$10)</f>
        <v>4.1292630679398235</v>
      </c>
      <c r="S46" s="10" cm="1">
        <f t="array" ref="S46">SUMPRODUCT(K47:K$54*M47:M$54, $H47:$H$54 - $H46) / M46 /P46 / (1 + $B$10)</f>
        <v>4.1292630679398226</v>
      </c>
      <c r="T46" s="10">
        <f t="shared" si="36"/>
        <v>0</v>
      </c>
      <c r="U46" s="10">
        <f t="shared" si="37"/>
        <v>-99.999899999999997</v>
      </c>
      <c r="V46" s="10">
        <f t="shared" si="18"/>
        <v>-673.27381422055225</v>
      </c>
      <c r="W46">
        <f t="shared" si="45"/>
        <v>16952.418762260659</v>
      </c>
      <c r="X46" s="10">
        <f t="shared" si="44"/>
        <v>16279.144948040106</v>
      </c>
      <c r="Y46" s="10">
        <f t="shared" si="2"/>
        <v>0</v>
      </c>
      <c r="Z46">
        <f t="shared" si="3"/>
        <v>0</v>
      </c>
      <c r="AA46" s="10">
        <f t="shared" si="4"/>
        <v>0</v>
      </c>
      <c r="AB46" s="10">
        <f t="shared" si="5"/>
        <v>0</v>
      </c>
      <c r="AC46" s="10">
        <f t="shared" si="6"/>
        <v>1.5027716085402054E-4</v>
      </c>
      <c r="AD46" s="10">
        <f t="shared" si="7"/>
        <v>5.2299732664101923E-4</v>
      </c>
      <c r="AE46">
        <f t="shared" si="20"/>
        <v>-150.27716085402051</v>
      </c>
      <c r="AF46" s="10">
        <f t="shared" si="8"/>
        <v>-522.99732664101919</v>
      </c>
      <c r="AG46" s="10">
        <f t="shared" si="21"/>
        <v>-150.27701057685965</v>
      </c>
      <c r="AH46" s="10">
        <f t="shared" si="22"/>
        <v>-522.99680364369249</v>
      </c>
      <c r="AI46">
        <f t="shared" si="9"/>
        <v>5024.4274530987987</v>
      </c>
      <c r="AJ46">
        <f t="shared" si="10"/>
        <v>2512.2137265493993</v>
      </c>
      <c r="AK46" s="10">
        <f t="shared" si="11"/>
        <v>8742.5037683919072</v>
      </c>
      <c r="AL46" s="4">
        <f t="shared" si="23"/>
        <v>0.30864197530864201</v>
      </c>
      <c r="AM46">
        <f t="shared" si="12"/>
        <v>5024.4274530987987</v>
      </c>
      <c r="AN46" s="10">
        <f t="shared" si="46"/>
        <v>2662.4907371262589</v>
      </c>
      <c r="AO46" s="10">
        <f t="shared" si="24"/>
        <v>9265.5005720356003</v>
      </c>
      <c r="AP46" s="10">
        <f t="shared" si="25"/>
        <v>11927.991309161858</v>
      </c>
      <c r="AQ46" s="9">
        <f t="shared" si="26"/>
        <v>0.22321367178405024</v>
      </c>
      <c r="AR46" s="9">
        <f t="shared" si="27"/>
        <v>0.77678632821594984</v>
      </c>
      <c r="AS46">
        <f t="shared" si="39"/>
        <v>5024.4274530987987</v>
      </c>
      <c r="AT46">
        <f t="shared" si="40"/>
        <v>2662.4907371262589</v>
      </c>
      <c r="AU46">
        <f t="shared" si="41"/>
        <v>9265.5005720356021</v>
      </c>
      <c r="AV46">
        <f t="shared" si="31"/>
        <v>0.29638410444910313</v>
      </c>
      <c r="AW46">
        <f t="shared" si="32"/>
        <v>0.15705668757153846</v>
      </c>
      <c r="AX46">
        <f t="shared" si="33"/>
        <v>0.54655920797935842</v>
      </c>
      <c r="AY46" s="3">
        <f t="shared" si="13"/>
        <v>4.7498248964697447E-2</v>
      </c>
      <c r="AZ46">
        <f t="shared" si="14"/>
        <v>3.6453350315857188E-3</v>
      </c>
      <c r="BA46" s="11">
        <f t="shared" si="34"/>
        <v>4.5675581448904587E-2</v>
      </c>
    </row>
    <row r="47" spans="1:53" x14ac:dyDescent="0.2">
      <c r="H47" s="10">
        <f t="shared" si="35"/>
        <v>43</v>
      </c>
      <c r="I47">
        <f t="shared" si="15"/>
        <v>0</v>
      </c>
      <c r="J47">
        <f t="shared" si="16"/>
        <v>1E-4</v>
      </c>
      <c r="K47">
        <f t="shared" si="17"/>
        <v>-100</v>
      </c>
      <c r="L47" s="9">
        <f t="shared" si="0"/>
        <v>0.18516820225639813</v>
      </c>
      <c r="M47" s="11">
        <f t="shared" si="1"/>
        <v>0.18516820225639813</v>
      </c>
      <c r="N47" s="10">
        <f>SUMPRODUCT(I48:I$54, L48:L$54) / L47</f>
        <v>0</v>
      </c>
      <c r="O47" s="10">
        <f>SUMPRODUCT(J48:J$54, M48:M$54) / M47</f>
        <v>6.0020546699484137E-4</v>
      </c>
      <c r="P47" s="10">
        <f>SUMPRODUCT(K48:K$54, M48:M$54) / M47</f>
        <v>-600.20546699484123</v>
      </c>
      <c r="Q47" s="10" cm="1">
        <f t="array" ref="Q47">IF($H47 &gt;= $B$12 - 1, 0, SUMPRODUCT(I48:I$54*L48:L$54, $H48:$H$54 - $H47) / L47 /N47) / (1 + $B$10)</f>
        <v>0</v>
      </c>
      <c r="R47" s="10" cm="1">
        <f t="array" ref="R47">SUMPRODUCT(J48:J$54*L48:L$54, $H48:$H$54 - $H47) / L47 /O47 / (1 + $B$10)</f>
        <v>3.6954979741218845</v>
      </c>
      <c r="S47" s="10" cm="1">
        <f t="array" ref="S47">SUMPRODUCT(K48:K$54*M48:M$54, $H48:$H$54 - $H47) / M47 /P47 / (1 + $B$10)</f>
        <v>3.695497974121885</v>
      </c>
      <c r="T47" s="10">
        <f t="shared" si="36"/>
        <v>0</v>
      </c>
      <c r="U47" s="10">
        <f t="shared" si="37"/>
        <v>-99.999899999999997</v>
      </c>
      <c r="V47" s="10">
        <f t="shared" si="18"/>
        <v>-600.20486678937425</v>
      </c>
      <c r="W47">
        <f t="shared" si="45"/>
        <v>17626.730446192232</v>
      </c>
      <c r="X47" s="10">
        <f t="shared" si="44"/>
        <v>17026.525579402856</v>
      </c>
      <c r="Y47" s="10">
        <f t="shared" si="2"/>
        <v>0</v>
      </c>
      <c r="Z47">
        <f t="shared" si="3"/>
        <v>0</v>
      </c>
      <c r="AA47" s="10">
        <f t="shared" si="4"/>
        <v>0</v>
      </c>
      <c r="AB47" s="10">
        <f t="shared" si="5"/>
        <v>0</v>
      </c>
      <c r="AC47" s="10">
        <f t="shared" si="6"/>
        <v>1.1989503174790898E-4</v>
      </c>
      <c r="AD47" s="10">
        <f t="shared" si="7"/>
        <v>4.8031043524693242E-4</v>
      </c>
      <c r="AE47">
        <f t="shared" si="20"/>
        <v>-119.89503174790894</v>
      </c>
      <c r="AF47" s="10">
        <f t="shared" si="8"/>
        <v>-480.31043524693229</v>
      </c>
      <c r="AG47" s="10">
        <f t="shared" si="21"/>
        <v>-119.8949118528772</v>
      </c>
      <c r="AH47" s="10">
        <f t="shared" si="22"/>
        <v>-480.30995493649704</v>
      </c>
      <c r="AI47">
        <f t="shared" si="9"/>
        <v>5255.1004874700184</v>
      </c>
      <c r="AJ47">
        <f t="shared" si="10"/>
        <v>2627.5502437350092</v>
      </c>
      <c r="AK47" s="10">
        <f t="shared" si="11"/>
        <v>9143.8748481978273</v>
      </c>
      <c r="AL47" s="4">
        <f t="shared" si="23"/>
        <v>0.30864197530864201</v>
      </c>
      <c r="AM47">
        <f t="shared" si="12"/>
        <v>5255.1004874700184</v>
      </c>
      <c r="AN47" s="10">
        <f t="shared" si="46"/>
        <v>2747.4451555878863</v>
      </c>
      <c r="AO47" s="10">
        <f t="shared" si="24"/>
        <v>9624.1848031343252</v>
      </c>
      <c r="AP47" s="10">
        <f t="shared" si="25"/>
        <v>12371.629958722211</v>
      </c>
      <c r="AQ47" s="9">
        <f t="shared" si="26"/>
        <v>0.22207624741078602</v>
      </c>
      <c r="AR47" s="9">
        <f t="shared" si="27"/>
        <v>0.77792375258921398</v>
      </c>
      <c r="AS47">
        <f t="shared" si="39"/>
        <v>5255.1004874700184</v>
      </c>
      <c r="AT47">
        <f t="shared" si="40"/>
        <v>2747.4451555878863</v>
      </c>
      <c r="AU47">
        <f t="shared" si="41"/>
        <v>9624.184803134327</v>
      </c>
      <c r="AV47">
        <f t="shared" si="31"/>
        <v>0.29813245873997224</v>
      </c>
      <c r="AW47">
        <f t="shared" si="32"/>
        <v>0.15586810974246196</v>
      </c>
      <c r="AX47">
        <f t="shared" si="33"/>
        <v>0.5459994315175658</v>
      </c>
      <c r="AY47" s="3">
        <f t="shared" si="13"/>
        <v>4.7521330272224063E-2</v>
      </c>
      <c r="AZ47">
        <f t="shared" si="14"/>
        <v>3.6669617110845531E-3</v>
      </c>
      <c r="BA47" s="11">
        <f t="shared" si="34"/>
        <v>4.5687849416681789E-2</v>
      </c>
    </row>
    <row r="48" spans="1:53" x14ac:dyDescent="0.2">
      <c r="H48" s="10">
        <f t="shared" si="35"/>
        <v>44</v>
      </c>
      <c r="I48">
        <f t="shared" si="15"/>
        <v>0</v>
      </c>
      <c r="J48">
        <f t="shared" si="16"/>
        <v>1E-4</v>
      </c>
      <c r="K48">
        <f t="shared" si="17"/>
        <v>-100</v>
      </c>
      <c r="L48" s="9">
        <f t="shared" si="0"/>
        <v>0.17804634832345972</v>
      </c>
      <c r="M48" s="11">
        <f t="shared" si="1"/>
        <v>0.17804634832345972</v>
      </c>
      <c r="N48" s="10">
        <f>SUMPRODUCT(I49:I$54, L49:L$54) / L48</f>
        <v>0</v>
      </c>
      <c r="O48" s="10">
        <f>SUMPRODUCT(J49:J$54, M49:M$54) / M48</f>
        <v>5.2421368567463506E-4</v>
      </c>
      <c r="P48" s="10">
        <f>SUMPRODUCT(K49:K$54, M49:M$54) / M48</f>
        <v>-524.21368567463503</v>
      </c>
      <c r="Q48" s="10" cm="1">
        <f t="array" ref="Q48">IF($H48 &gt;= $B$12 - 1, 0, SUMPRODUCT(I49:I$54*L49:L$54, $H49:$H$54 - $H48) / L48 /N48) / (1 + $B$10)</f>
        <v>0</v>
      </c>
      <c r="R48" s="10" cm="1">
        <f t="array" ref="R48">SUMPRODUCT(J49:J$54*L49:L$54, $H49:$H$54 - $H48) / L48 /O48 / (1 + $B$10)</f>
        <v>3.2554948305835554</v>
      </c>
      <c r="S48" s="10" cm="1">
        <f t="array" ref="S48">SUMPRODUCT(K49:K$54*M49:M$54, $H49:$H$54 - $H48) / M48 /P48 / (1 + $B$10)</f>
        <v>3.2554948305835554</v>
      </c>
      <c r="T48" s="10">
        <f t="shared" si="36"/>
        <v>0</v>
      </c>
      <c r="U48" s="10">
        <f t="shared" si="37"/>
        <v>-99.999899999999997</v>
      </c>
      <c r="V48" s="10">
        <f t="shared" si="18"/>
        <v>-524.21316146094932</v>
      </c>
      <c r="W48">
        <f t="shared" si="45"/>
        <v>18332.057952526302</v>
      </c>
      <c r="X48" s="10">
        <f t="shared" si="44"/>
        <v>17807.844791065352</v>
      </c>
      <c r="Y48" s="10">
        <f t="shared" si="2"/>
        <v>0</v>
      </c>
      <c r="Z48">
        <f t="shared" si="3"/>
        <v>0</v>
      </c>
      <c r="AA48" s="10">
        <f t="shared" si="4"/>
        <v>0</v>
      </c>
      <c r="AB48" s="10">
        <f t="shared" si="5"/>
        <v>0</v>
      </c>
      <c r="AC48" s="10">
        <f t="shared" si="6"/>
        <v>9.2247294261347412E-5</v>
      </c>
      <c r="AD48" s="10">
        <f t="shared" si="7"/>
        <v>4.3196639141328762E-4</v>
      </c>
      <c r="AE48">
        <f t="shared" si="20"/>
        <v>-92.247294261347406</v>
      </c>
      <c r="AF48" s="10">
        <f t="shared" si="8"/>
        <v>-431.96639141328762</v>
      </c>
      <c r="AG48" s="10">
        <f t="shared" si="21"/>
        <v>-92.247202014053144</v>
      </c>
      <c r="AH48" s="10">
        <f t="shared" si="22"/>
        <v>-431.96595944689619</v>
      </c>
      <c r="AI48">
        <f t="shared" si="9"/>
        <v>5496.2483923041218</v>
      </c>
      <c r="AJ48">
        <f t="shared" si="10"/>
        <v>2748.1241961520609</v>
      </c>
      <c r="AK48" s="10">
        <f t="shared" si="11"/>
        <v>9563.4722026091695</v>
      </c>
      <c r="AL48" s="4">
        <f t="shared" si="23"/>
        <v>0.30864197530864201</v>
      </c>
      <c r="AM48">
        <f t="shared" si="12"/>
        <v>5496.2483923041218</v>
      </c>
      <c r="AN48" s="10">
        <f t="shared" si="46"/>
        <v>2840.371398166114</v>
      </c>
      <c r="AO48" s="10">
        <f t="shared" si="24"/>
        <v>9995.4381620560653</v>
      </c>
      <c r="AP48" s="10">
        <f t="shared" si="25"/>
        <v>12835.80956022218</v>
      </c>
      <c r="AQ48" s="9">
        <f t="shared" si="26"/>
        <v>0.2212849438782846</v>
      </c>
      <c r="AR48" s="9">
        <f t="shared" si="27"/>
        <v>0.77871505612171532</v>
      </c>
      <c r="AS48">
        <f t="shared" si="39"/>
        <v>5496.2483923041218</v>
      </c>
      <c r="AT48">
        <f t="shared" si="40"/>
        <v>2840.371398166114</v>
      </c>
      <c r="AU48">
        <f t="shared" si="41"/>
        <v>9995.4381620560671</v>
      </c>
      <c r="AV48">
        <f t="shared" si="31"/>
        <v>0.29981622393609636</v>
      </c>
      <c r="AW48">
        <f t="shared" si="32"/>
        <v>0.15494012759078629</v>
      </c>
      <c r="AX48">
        <f t="shared" si="33"/>
        <v>0.54524364847311735</v>
      </c>
      <c r="AY48" s="3">
        <f t="shared" si="13"/>
        <v>4.7545725754629793E-2</v>
      </c>
      <c r="AZ48">
        <f t="shared" si="14"/>
        <v>3.690237245250015E-3</v>
      </c>
      <c r="BA48" s="11">
        <f t="shared" si="34"/>
        <v>4.5700607132004786E-2</v>
      </c>
    </row>
    <row r="49" spans="8:53" x14ac:dyDescent="0.2">
      <c r="H49" s="10">
        <f t="shared" si="35"/>
        <v>45</v>
      </c>
      <c r="I49">
        <f t="shared" si="15"/>
        <v>0</v>
      </c>
      <c r="J49">
        <f t="shared" si="16"/>
        <v>1E-4</v>
      </c>
      <c r="K49">
        <f t="shared" si="17"/>
        <v>-100</v>
      </c>
      <c r="L49" s="9">
        <f t="shared" si="0"/>
        <v>0.17119841184948048</v>
      </c>
      <c r="M49" s="11">
        <f t="shared" si="1"/>
        <v>0.17119841184948048</v>
      </c>
      <c r="N49" s="10">
        <f>SUMPRODUCT(I50:I$54, L50:L$54) / L49</f>
        <v>0</v>
      </c>
      <c r="O49" s="10">
        <f>SUMPRODUCT(J50:J$54, M50:M$54) / M49</f>
        <v>4.451822331016206E-4</v>
      </c>
      <c r="P49" s="10">
        <f>SUMPRODUCT(K50:K$54, M50:M$54) / M49</f>
        <v>-445.18223310162051</v>
      </c>
      <c r="Q49" s="10" cm="1">
        <f t="array" ref="Q49">IF($H49 &gt;= $B$12 - 1, 0, SUMPRODUCT(I50:I$54*L50:L$54, $H50:$H$54 - $H49) / L49 /N49) / (1 + $B$10)</f>
        <v>0</v>
      </c>
      <c r="R49" s="10" cm="1">
        <f t="array" ref="R49">SUMPRODUCT(J50:J$54*L50:L$54, $H50:$H$54 - $H49) / L49 /O49 / (1 + $B$10)</f>
        <v>2.8092411667026536</v>
      </c>
      <c r="S49" s="10" cm="1">
        <f t="array" ref="S49">SUMPRODUCT(K50:K$54*M50:M$54, $H50:$H$54 - $H49) / M49 /P49 / (1 + $B$10)</f>
        <v>2.809241166702654</v>
      </c>
      <c r="T49" s="10">
        <f t="shared" si="36"/>
        <v>0</v>
      </c>
      <c r="U49" s="10">
        <f t="shared" si="37"/>
        <v>-99.999899999999997</v>
      </c>
      <c r="V49" s="10">
        <f t="shared" si="18"/>
        <v>-445.18178791938743</v>
      </c>
      <c r="W49">
        <f t="shared" si="45"/>
        <v>19069.844230935851</v>
      </c>
      <c r="X49" s="10">
        <f t="shared" si="44"/>
        <v>18624.662443016463</v>
      </c>
      <c r="Y49" s="10">
        <f t="shared" si="2"/>
        <v>0</v>
      </c>
      <c r="Z49">
        <f t="shared" si="3"/>
        <v>0</v>
      </c>
      <c r="AA49" s="10">
        <f t="shared" si="4"/>
        <v>0</v>
      </c>
      <c r="AB49" s="10">
        <f t="shared" si="5"/>
        <v>0</v>
      </c>
      <c r="AC49" s="10">
        <f t="shared" si="6"/>
        <v>6.7601311130469687E-5</v>
      </c>
      <c r="AD49" s="10">
        <f t="shared" si="7"/>
        <v>3.7758092197115093E-4</v>
      </c>
      <c r="AE49">
        <f t="shared" si="20"/>
        <v>-67.601311130469696</v>
      </c>
      <c r="AF49" s="10">
        <f t="shared" si="8"/>
        <v>-377.58092197115081</v>
      </c>
      <c r="AG49" s="10">
        <f t="shared" si="21"/>
        <v>-67.601243529158566</v>
      </c>
      <c r="AH49" s="10">
        <f t="shared" si="22"/>
        <v>-377.58054439022885</v>
      </c>
      <c r="AI49">
        <f t="shared" si="9"/>
        <v>5748.3526058692796</v>
      </c>
      <c r="AJ49">
        <f t="shared" si="10"/>
        <v>2874.1763029346398</v>
      </c>
      <c r="AK49" s="10">
        <f t="shared" si="11"/>
        <v>10002.133534212542</v>
      </c>
      <c r="AL49" s="4">
        <f t="shared" si="23"/>
        <v>0.30864197530864207</v>
      </c>
      <c r="AM49">
        <f t="shared" si="12"/>
        <v>5748.3526058692796</v>
      </c>
      <c r="AN49" s="10">
        <f t="shared" si="46"/>
        <v>2941.7775464637984</v>
      </c>
      <c r="AO49" s="10">
        <f t="shared" si="24"/>
        <v>10379.71407860277</v>
      </c>
      <c r="AP49" s="10">
        <f t="shared" si="25"/>
        <v>13321.491625066568</v>
      </c>
      <c r="AQ49" s="9">
        <f t="shared" si="26"/>
        <v>0.22082944082090344</v>
      </c>
      <c r="AR49" s="9">
        <f t="shared" si="27"/>
        <v>0.77917055917909661</v>
      </c>
      <c r="AS49">
        <f t="shared" si="39"/>
        <v>5748.3526058692796</v>
      </c>
      <c r="AT49">
        <f t="shared" si="40"/>
        <v>2941.7775464637984</v>
      </c>
      <c r="AU49">
        <f t="shared" si="41"/>
        <v>10379.714078602772</v>
      </c>
      <c r="AV49">
        <f t="shared" si="31"/>
        <v>0.3014367886940616</v>
      </c>
      <c r="AW49">
        <f t="shared" si="32"/>
        <v>0.15426332333074494</v>
      </c>
      <c r="AX49">
        <f t="shared" si="33"/>
        <v>0.54429988797519346</v>
      </c>
      <c r="AY49" s="3">
        <f t="shared" si="13"/>
        <v>4.7571369007188682E-2</v>
      </c>
      <c r="AZ49">
        <f t="shared" si="14"/>
        <v>3.715026460304791E-3</v>
      </c>
      <c r="BA49" s="11">
        <f t="shared" si="34"/>
        <v>4.5713855777036287E-2</v>
      </c>
    </row>
    <row r="50" spans="8:53" x14ac:dyDescent="0.2">
      <c r="H50" s="10">
        <f t="shared" si="35"/>
        <v>46</v>
      </c>
      <c r="I50">
        <f t="shared" si="15"/>
        <v>0</v>
      </c>
      <c r="J50">
        <f t="shared" si="16"/>
        <v>1E-4</v>
      </c>
      <c r="K50">
        <f t="shared" si="17"/>
        <v>-100</v>
      </c>
      <c r="L50" s="9">
        <f t="shared" si="0"/>
        <v>0.1646138575475774</v>
      </c>
      <c r="M50" s="11">
        <f t="shared" si="1"/>
        <v>0.1646138575475774</v>
      </c>
      <c r="N50" s="10">
        <f>SUMPRODUCT(I51:I$54, L51:L$54) / L50</f>
        <v>0</v>
      </c>
      <c r="O50" s="10">
        <f>SUMPRODUCT(J51:J$54, M51:M$54) / M50</f>
        <v>3.6298952242568537E-4</v>
      </c>
      <c r="P50" s="10">
        <f>SUMPRODUCT(K51:K$54, M51:M$54) / M50</f>
        <v>-362.98952242568532</v>
      </c>
      <c r="Q50" s="10" cm="1">
        <f t="array" ref="Q50">IF($H50 &gt;= $B$12 - 1, 0, SUMPRODUCT(I51:I$54*L51:L$54, $H51:$H$54 - $H50) / L50 /N50) / (1 + $B$10)</f>
        <v>0</v>
      </c>
      <c r="R50" s="10" cm="1">
        <f t="array" ref="R50">SUMPRODUCT(J51:J$54*L51:L$54, $H51:$H$54 - $H50) / L50 /O50 / (1 + $B$10)</f>
        <v>2.3567264072305441</v>
      </c>
      <c r="S50" s="10" cm="1">
        <f t="array" ref="S50">SUMPRODUCT(K51:K$54*M51:M$54, $H51:$H$54 - $H50) / M50 /P50 / (1 + $B$10)</f>
        <v>2.3567264072305445</v>
      </c>
      <c r="T50" s="10">
        <f t="shared" si="36"/>
        <v>0</v>
      </c>
      <c r="U50" s="10">
        <f t="shared" si="37"/>
        <v>-99.999899999999997</v>
      </c>
      <c r="V50" s="10">
        <f t="shared" si="18"/>
        <v>-362.98915943616288</v>
      </c>
      <c r="W50">
        <f t="shared" si="45"/>
        <v>19841.6004397994</v>
      </c>
      <c r="X50" s="10">
        <f t="shared" si="44"/>
        <v>19478.611280363239</v>
      </c>
      <c r="Y50" s="10">
        <f t="shared" si="2"/>
        <v>0</v>
      </c>
      <c r="Z50">
        <f t="shared" si="3"/>
        <v>0</v>
      </c>
      <c r="AA50" s="10">
        <f t="shared" si="4"/>
        <v>0</v>
      </c>
      <c r="AB50" s="10">
        <f t="shared" si="5"/>
        <v>0</v>
      </c>
      <c r="AC50" s="10">
        <f t="shared" si="6"/>
        <v>4.6241459083709002E-5</v>
      </c>
      <c r="AD50" s="10">
        <f t="shared" si="7"/>
        <v>3.1674806334197636E-4</v>
      </c>
      <c r="AE50">
        <f t="shared" si="20"/>
        <v>-46.241459083709003</v>
      </c>
      <c r="AF50" s="10">
        <f t="shared" si="8"/>
        <v>-316.74806334197632</v>
      </c>
      <c r="AG50" s="10">
        <f t="shared" si="21"/>
        <v>-46.241412842249922</v>
      </c>
      <c r="AH50" s="10">
        <f t="shared" si="22"/>
        <v>-316.74774659391295</v>
      </c>
      <c r="AI50">
        <f t="shared" si="9"/>
        <v>6011.9170618405069</v>
      </c>
      <c r="AJ50">
        <f t="shared" si="10"/>
        <v>3005.9585309202535</v>
      </c>
      <c r="AK50" s="10">
        <f t="shared" si="11"/>
        <v>10460.735687602477</v>
      </c>
      <c r="AL50" s="4">
        <f t="shared" si="23"/>
        <v>0.30864197530864207</v>
      </c>
      <c r="AM50">
        <f t="shared" si="12"/>
        <v>6011.9170618405069</v>
      </c>
      <c r="AN50" s="10">
        <f t="shared" si="46"/>
        <v>3052.1999437625032</v>
      </c>
      <c r="AO50" s="10">
        <f t="shared" si="24"/>
        <v>10777.483434196391</v>
      </c>
      <c r="AP50" s="10">
        <f t="shared" si="25"/>
        <v>13829.683377958894</v>
      </c>
      <c r="AQ50" s="9">
        <f t="shared" si="26"/>
        <v>0.22069919175640401</v>
      </c>
      <c r="AR50" s="9">
        <f t="shared" si="27"/>
        <v>0.77930080824359593</v>
      </c>
      <c r="AS50">
        <f t="shared" si="39"/>
        <v>6011.9170618405069</v>
      </c>
      <c r="AT50">
        <f t="shared" si="40"/>
        <v>3052.1999437625032</v>
      </c>
      <c r="AU50">
        <f t="shared" si="41"/>
        <v>10777.483434196389</v>
      </c>
      <c r="AV50">
        <f t="shared" si="31"/>
        <v>0.30299557135428784</v>
      </c>
      <c r="AW50">
        <f t="shared" si="32"/>
        <v>0.15382831405274289</v>
      </c>
      <c r="AX50">
        <f t="shared" si="33"/>
        <v>0.54317611459296944</v>
      </c>
      <c r="AY50" s="3">
        <f t="shared" si="13"/>
        <v>4.7598194567613189E-2</v>
      </c>
      <c r="AZ50">
        <f t="shared" si="14"/>
        <v>3.7412107134537085E-3</v>
      </c>
      <c r="BA50" s="11">
        <f t="shared" si="34"/>
        <v>4.5727589210886335E-2</v>
      </c>
    </row>
    <row r="51" spans="8:53" x14ac:dyDescent="0.2">
      <c r="H51" s="10">
        <f t="shared" si="35"/>
        <v>47</v>
      </c>
      <c r="I51">
        <f t="shared" si="15"/>
        <v>0</v>
      </c>
      <c r="J51">
        <f t="shared" si="16"/>
        <v>1E-4</v>
      </c>
      <c r="K51">
        <f t="shared" si="17"/>
        <v>-100</v>
      </c>
      <c r="L51" s="9">
        <f t="shared" si="0"/>
        <v>0.15828255533420904</v>
      </c>
      <c r="M51" s="11">
        <f t="shared" si="1"/>
        <v>0.15828255533420904</v>
      </c>
      <c r="N51" s="10">
        <f>SUMPRODUCT(I52:I$54, L52:L$54) / L51</f>
        <v>0</v>
      </c>
      <c r="O51" s="10">
        <f>SUMPRODUCT(J52:J$54, M52:M$54) / M51</f>
        <v>2.775091033227128E-4</v>
      </c>
      <c r="P51" s="10">
        <f>SUMPRODUCT(K52:K$54, M52:M$54) / M51</f>
        <v>-277.50910332271275</v>
      </c>
      <c r="Q51" s="10" cm="1">
        <f t="array" ref="Q51">IF($H51 &gt;= $B$12 - 1, 0, SUMPRODUCT(I52:I$54*L52:L$54, $H52:$H$54 - $H51) / L51 /N51) / (1 + $B$10)</f>
        <v>0</v>
      </c>
      <c r="R51" s="10" cm="1">
        <f t="array" ref="R51">SUMPRODUCT(J52:J$54*L52:L$54, $H52:$H$54 - $H51) / L51 /O51 / (1 + $B$10)</f>
        <v>1.8979418838465478</v>
      </c>
      <c r="S51" s="10" cm="1">
        <f t="array" ref="S51">SUMPRODUCT(K52:K$54*M52:M$54, $H52:$H$54 - $H51) / M51 /P51 / (1 + $B$10)</f>
        <v>1.8979418838465483</v>
      </c>
      <c r="T51" s="10">
        <f t="shared" si="36"/>
        <v>0</v>
      </c>
      <c r="U51" s="10">
        <f t="shared" si="37"/>
        <v>-99.999899999999997</v>
      </c>
      <c r="V51" s="10">
        <f t="shared" si="18"/>
        <v>-277.50882581360941</v>
      </c>
      <c r="W51">
        <f t="shared" si="45"/>
        <v>20648.909093997092</v>
      </c>
      <c r="X51" s="10">
        <f>V51 + W51</f>
        <v>20371.400268183483</v>
      </c>
      <c r="Y51" s="10">
        <f t="shared" si="2"/>
        <v>0</v>
      </c>
      <c r="Z51">
        <f t="shared" si="3"/>
        <v>0</v>
      </c>
      <c r="AA51" s="10">
        <f t="shared" si="4"/>
        <v>0</v>
      </c>
      <c r="AB51" s="10">
        <f t="shared" si="5"/>
        <v>0</v>
      </c>
      <c r="AC51" s="10">
        <f t="shared" si="6"/>
        <v>2.8470062180804099E-5</v>
      </c>
      <c r="AD51" s="10">
        <f t="shared" si="7"/>
        <v>2.4903904114190873E-4</v>
      </c>
      <c r="AE51">
        <f t="shared" si="20"/>
        <v>-28.470062180804099</v>
      </c>
      <c r="AF51" s="10">
        <f t="shared" si="8"/>
        <v>-249.03904114190865</v>
      </c>
      <c r="AG51" s="10">
        <f t="shared" si="21"/>
        <v>-28.470033710741919</v>
      </c>
      <c r="AH51" s="10">
        <f t="shared" si="22"/>
        <v>-249.03879210286752</v>
      </c>
      <c r="AI51">
        <f t="shared" si="9"/>
        <v>6287.4692185751501</v>
      </c>
      <c r="AJ51">
        <f t="shared" si="10"/>
        <v>3143.734609287575</v>
      </c>
      <c r="AK51" s="10">
        <f t="shared" si="11"/>
        <v>10940.196440320757</v>
      </c>
      <c r="AL51" s="4">
        <f t="shared" si="23"/>
        <v>0.30864197530864201</v>
      </c>
      <c r="AM51">
        <f t="shared" si="12"/>
        <v>6287.4692185751501</v>
      </c>
      <c r="AN51" s="10">
        <f t="shared" si="46"/>
        <v>3172.204642998317</v>
      </c>
      <c r="AO51" s="10">
        <f t="shared" si="24"/>
        <v>11189.235232423624</v>
      </c>
      <c r="AP51" s="10">
        <f t="shared" si="25"/>
        <v>14361.43987542194</v>
      </c>
      <c r="AQ51" s="9">
        <f t="shared" si="26"/>
        <v>0.22088346784971083</v>
      </c>
      <c r="AR51" s="9">
        <f t="shared" si="27"/>
        <v>0.7791165321502892</v>
      </c>
      <c r="AS51">
        <f t="shared" si="39"/>
        <v>6287.4692185751501</v>
      </c>
      <c r="AT51">
        <f t="shared" si="40"/>
        <v>3172.204642998317</v>
      </c>
      <c r="AU51">
        <f t="shared" si="41"/>
        <v>11189.235232423625</v>
      </c>
      <c r="AV51">
        <f t="shared" si="31"/>
        <v>0.30449401418513677</v>
      </c>
      <c r="AW51">
        <f t="shared" si="32"/>
        <v>0.15362577405701874</v>
      </c>
      <c r="AX51">
        <f t="shared" si="33"/>
        <v>0.54188021175784451</v>
      </c>
      <c r="AY51" s="3">
        <f t="shared" si="13"/>
        <v>4.7626138024272922E-2</v>
      </c>
      <c r="AZ51">
        <f t="shared" si="14"/>
        <v>3.7686864533859649E-3</v>
      </c>
      <c r="BA51" s="11">
        <f t="shared" si="34"/>
        <v>4.5741794797579942E-2</v>
      </c>
    </row>
    <row r="52" spans="8:53" x14ac:dyDescent="0.2">
      <c r="H52" s="10">
        <f t="shared" si="35"/>
        <v>48</v>
      </c>
      <c r="I52">
        <f t="shared" si="15"/>
        <v>0</v>
      </c>
      <c r="J52">
        <f t="shared" si="16"/>
        <v>1E-4</v>
      </c>
      <c r="K52">
        <f t="shared" si="17"/>
        <v>-100</v>
      </c>
      <c r="L52" s="9">
        <f t="shared" si="0"/>
        <v>0.15219476474443175</v>
      </c>
      <c r="M52" s="11">
        <f t="shared" si="1"/>
        <v>0.15219476474443175</v>
      </c>
      <c r="N52" s="10">
        <f>SUMPRODUCT(I53:I$54, L53:L$54) / L52</f>
        <v>0</v>
      </c>
      <c r="O52" s="10">
        <f>SUMPRODUCT(J53:J$54, M53:M$54) / M52</f>
        <v>1.8860946745562129E-4</v>
      </c>
      <c r="P52" s="10">
        <f>SUMPRODUCT(K53:K$54, M53:M$54) / M52</f>
        <v>-188.60946745562129</v>
      </c>
      <c r="Q52" s="10" cm="1">
        <f t="array" ref="Q52">IF($H52 &gt;= $B$12 - 1, 0, SUMPRODUCT(I53:I$54*L53:L$54, $H53:$H$54 - $H52) / L52 /N52) / (1 + $B$10)</f>
        <v>0</v>
      </c>
      <c r="R52" s="10" cm="1">
        <f t="array" ref="R52">SUMPRODUCT(J53:J$54*L53:L$54, $H53:$H$54 - $H52) / L52 /O52 / (1 + $B$10)</f>
        <v>1.4328808446455505</v>
      </c>
      <c r="S52" s="10" cm="1">
        <f t="array" ref="S52">SUMPRODUCT(K53:K$54*M53:M$54, $H53:$H$54 - $H52) / M52 /P52 / (1 + $B$10)</f>
        <v>1.4328808446455503</v>
      </c>
      <c r="T52" s="10">
        <f t="shared" si="36"/>
        <v>0</v>
      </c>
      <c r="U52" s="10">
        <f t="shared" si="37"/>
        <v>-99.999899999999997</v>
      </c>
      <c r="V52" s="10">
        <f t="shared" si="18"/>
        <v>-188.60927884615384</v>
      </c>
      <c r="W52">
        <f t="shared" si="45"/>
        <v>21493.427356568591</v>
      </c>
      <c r="X52" s="10">
        <f t="shared" ref="X52:X54" si="47">V52 + W52</f>
        <v>21304.818077722437</v>
      </c>
      <c r="Y52" s="10">
        <f t="shared" si="2"/>
        <v>0</v>
      </c>
      <c r="Z52">
        <f t="shared" si="3"/>
        <v>0</v>
      </c>
      <c r="AA52" s="10">
        <f t="shared" si="4"/>
        <v>0</v>
      </c>
      <c r="AB52" s="10">
        <f t="shared" si="5"/>
        <v>0</v>
      </c>
      <c r="AC52" s="10">
        <f t="shared" si="6"/>
        <v>1.4608372596538277E-5</v>
      </c>
      <c r="AD52" s="10">
        <f t="shared" si="7"/>
        <v>1.7400109485908301E-4</v>
      </c>
      <c r="AE52">
        <f t="shared" si="20"/>
        <v>-14.608372596538274</v>
      </c>
      <c r="AF52" s="10">
        <f t="shared" si="8"/>
        <v>-174.00109485908303</v>
      </c>
      <c r="AG52" s="10">
        <f t="shared" si="21"/>
        <v>-14.608357988165677</v>
      </c>
      <c r="AH52" s="10">
        <f t="shared" si="22"/>
        <v>-174.00092085798818</v>
      </c>
      <c r="AI52">
        <f t="shared" si="9"/>
        <v>6575.5611350995187</v>
      </c>
      <c r="AJ52">
        <f t="shared" si="10"/>
        <v>3287.7805675497593</v>
      </c>
      <c r="AK52" s="10">
        <f t="shared" si="11"/>
        <v>11441.476375073158</v>
      </c>
      <c r="AL52" s="4">
        <f t="shared" si="23"/>
        <v>0.30864197530864201</v>
      </c>
      <c r="AM52">
        <f t="shared" si="12"/>
        <v>6575.5611350995187</v>
      </c>
      <c r="AN52" s="10">
        <f t="shared" si="46"/>
        <v>3302.3889255379249</v>
      </c>
      <c r="AO52" s="10">
        <f t="shared" si="24"/>
        <v>11615.477295931147</v>
      </c>
      <c r="AP52" s="10">
        <f t="shared" si="25"/>
        <v>14917.866221469072</v>
      </c>
      <c r="AQ52" s="9">
        <f t="shared" si="26"/>
        <v>0.22137139967010069</v>
      </c>
      <c r="AR52" s="9">
        <f t="shared" si="27"/>
        <v>0.77862860032989922</v>
      </c>
      <c r="AS52">
        <f t="shared" si="39"/>
        <v>6575.5611350995187</v>
      </c>
      <c r="AT52">
        <f t="shared" si="40"/>
        <v>3302.3889255379249</v>
      </c>
      <c r="AU52">
        <f t="shared" si="41"/>
        <v>11615.477295931147</v>
      </c>
      <c r="AV52">
        <f t="shared" si="31"/>
        <v>0.30593357801960636</v>
      </c>
      <c r="AW52">
        <f t="shared" si="32"/>
        <v>0.15364645529781848</v>
      </c>
      <c r="AX52">
        <f t="shared" si="33"/>
        <v>0.54041996668257508</v>
      </c>
      <c r="AY52" s="3">
        <f t="shared" si="13"/>
        <v>4.7655136113370314E-2</v>
      </c>
      <c r="AZ52">
        <f t="shared" si="14"/>
        <v>3.7973638312890044E-3</v>
      </c>
      <c r="BA52" s="11">
        <f t="shared" si="34"/>
        <v>4.575645419772581E-2</v>
      </c>
    </row>
    <row r="53" spans="8:53" x14ac:dyDescent="0.2">
      <c r="H53" s="10">
        <f t="shared" si="35"/>
        <v>49</v>
      </c>
      <c r="I53">
        <f t="shared" si="15"/>
        <v>0</v>
      </c>
      <c r="J53">
        <f t="shared" si="16"/>
        <v>1E-4</v>
      </c>
      <c r="K53">
        <f t="shared" si="17"/>
        <v>-100</v>
      </c>
      <c r="L53" s="9">
        <f t="shared" si="0"/>
        <v>0.14634111994656898</v>
      </c>
      <c r="M53" s="11">
        <f t="shared" si="1"/>
        <v>0.14634111994656898</v>
      </c>
      <c r="N53" s="10">
        <f>SUMPRODUCT(I54:I$54, L54:L$54) / L53</f>
        <v>0</v>
      </c>
      <c r="O53" s="10">
        <f>SUMPRODUCT(J54:J$54, M54:M$54) / M53</f>
        <v>9.6153846153846154E-5</v>
      </c>
      <c r="P53" s="10">
        <f>SUMPRODUCT(K54:K$54, M54:M$54) / M53</f>
        <v>-96.153846153846146</v>
      </c>
      <c r="Q53" s="10" cm="1">
        <f t="array" ref="Q53">IF($H53 &gt;= $B$12 - 1, 0, SUMPRODUCT(I54:I$54*L54:L$54, $H54:$H$54 - $H53) / L53 /N53) / (1 + $B$10)</f>
        <v>0</v>
      </c>
      <c r="R53" s="10" cm="1">
        <f t="array" ref="R53">SUMPRODUCT(J54:J$54*L54:L$54, $H54:$H$54 - $H53) / L53 /O53 / (1 + $B$10)</f>
        <v>0.96153846153846145</v>
      </c>
      <c r="S53" s="10" cm="1">
        <f t="array" ref="S53">SUMPRODUCT(K54:K$54*M54:M$54, $H54:$H$54 - $H53) / M53 /P53 / (1 + $B$10)</f>
        <v>0.96153846153846145</v>
      </c>
      <c r="T53" s="10">
        <f t="shared" si="36"/>
        <v>0</v>
      </c>
      <c r="U53" s="10">
        <f t="shared" si="37"/>
        <v>-99.999899999999997</v>
      </c>
      <c r="V53" s="10">
        <f t="shared" si="18"/>
        <v>-96.153749999999988</v>
      </c>
      <c r="W53">
        <f t="shared" si="45"/>
        <v>22376.890480961571</v>
      </c>
      <c r="X53" s="10">
        <f t="shared" si="47"/>
        <v>22280.736730961569</v>
      </c>
      <c r="Y53" s="10">
        <f t="shared" si="2"/>
        <v>0</v>
      </c>
      <c r="Z53">
        <f t="shared" si="3"/>
        <v>0</v>
      </c>
      <c r="AA53" s="10">
        <f t="shared" si="4"/>
        <v>0</v>
      </c>
      <c r="AB53" s="10">
        <f t="shared" si="5"/>
        <v>0</v>
      </c>
      <c r="AC53" s="10">
        <f t="shared" si="6"/>
        <v>4.9976011514473052E-6</v>
      </c>
      <c r="AD53" s="10">
        <f t="shared" si="7"/>
        <v>9.1156245002398854E-5</v>
      </c>
      <c r="AE53">
        <f t="shared" si="20"/>
        <v>-4.9976011514473049</v>
      </c>
      <c r="AF53" s="10">
        <f t="shared" si="8"/>
        <v>-91.156245002398848</v>
      </c>
      <c r="AG53" s="10">
        <f t="shared" si="21"/>
        <v>-4.9975961538461533</v>
      </c>
      <c r="AH53" s="10">
        <f t="shared" si="22"/>
        <v>-91.156153846153842</v>
      </c>
      <c r="AI53">
        <f t="shared" si="9"/>
        <v>6876.7705959757941</v>
      </c>
      <c r="AJ53">
        <f t="shared" si="10"/>
        <v>3438.385297987897</v>
      </c>
      <c r="AK53" s="10">
        <f t="shared" si="11"/>
        <v>11965.580836997877</v>
      </c>
      <c r="AL53" s="4">
        <f t="shared" si="23"/>
        <v>0.30864197530864207</v>
      </c>
      <c r="AM53">
        <f t="shared" si="12"/>
        <v>6876.7705959757941</v>
      </c>
      <c r="AN53" s="10">
        <f t="shared" si="46"/>
        <v>3443.3828941417432</v>
      </c>
      <c r="AO53" s="10">
        <f t="shared" si="24"/>
        <v>12056.736990844031</v>
      </c>
      <c r="AP53" s="10">
        <f t="shared" si="25"/>
        <v>15500.119884985774</v>
      </c>
      <c r="AQ53" s="9">
        <f t="shared" si="26"/>
        <v>0.22215201686776526</v>
      </c>
      <c r="AR53" s="9">
        <f t="shared" si="27"/>
        <v>0.7778479831322348</v>
      </c>
      <c r="AS53">
        <f t="shared" si="39"/>
        <v>6876.7705959757941</v>
      </c>
      <c r="AT53">
        <f t="shared" si="40"/>
        <v>3443.3828941417432</v>
      </c>
      <c r="AU53">
        <f t="shared" si="41"/>
        <v>12056.736990844032</v>
      </c>
      <c r="AV53">
        <f t="shared" si="31"/>
        <v>0.30731573727040418</v>
      </c>
      <c r="AW53">
        <f t="shared" si="32"/>
        <v>0.1538812060179407</v>
      </c>
      <c r="AX53">
        <f t="shared" si="33"/>
        <v>0.53880305671165507</v>
      </c>
      <c r="AY53" s="3">
        <f t="shared" si="13"/>
        <v>4.7685126805587494E-2</v>
      </c>
      <c r="AZ53">
        <f t="shared" si="14"/>
        <v>3.8271653692426508E-3</v>
      </c>
      <c r="BA53" s="11">
        <f t="shared" si="34"/>
        <v>4.5771544120966165E-2</v>
      </c>
    </row>
    <row r="54" spans="8:53" x14ac:dyDescent="0.2">
      <c r="H54" s="10">
        <f t="shared" si="35"/>
        <v>50</v>
      </c>
      <c r="I54">
        <f t="shared" si="15"/>
        <v>0</v>
      </c>
      <c r="J54">
        <f t="shared" si="16"/>
        <v>1E-4</v>
      </c>
      <c r="K54">
        <f t="shared" si="17"/>
        <v>-100</v>
      </c>
      <c r="L54" s="9">
        <f t="shared" si="0"/>
        <v>0.14071261533323939</v>
      </c>
      <c r="M54" s="11">
        <f t="shared" si="1"/>
        <v>0.14071261533323939</v>
      </c>
      <c r="N54" s="10">
        <f>SUMPRODUCT(I$54:I55, L$54:L55) / L54</f>
        <v>0</v>
      </c>
      <c r="O54" s="10">
        <f>SUMPRODUCT(J$54:J55, M$54:M55) / M54</f>
        <v>1E-4</v>
      </c>
      <c r="P54" s="10">
        <f>SUMPRODUCT(K$54:K55, M$54:M55) / M54</f>
        <v>-100</v>
      </c>
      <c r="Q54" s="10" cm="1">
        <f t="array" ref="Q54">IF($H54 &gt;= $B$12 - 1, 0, SUMPRODUCT(I$54:I55*L$54:L55, $H$54:$H55 - $H54) / L54 /N54) / (1 + $B$10)</f>
        <v>0</v>
      </c>
      <c r="R54" s="10" cm="1">
        <f t="array" ref="R54">SUMPRODUCT(J$54:J55*L$54:L55, $H$54:$H55 - $H54) / L54 /O54 / (1 + $B$10)</f>
        <v>0</v>
      </c>
      <c r="S54" s="10" cm="1">
        <f t="array" ref="S54">SUMPRODUCT(K$54:K55*M$54:M55, $H$54:$H55 - $H54) / M54 /P54 / (1 + $B$10)</f>
        <v>0</v>
      </c>
      <c r="T54" s="10">
        <f t="shared" si="36"/>
        <v>0</v>
      </c>
      <c r="U54" s="10">
        <f t="shared" si="37"/>
        <v>-99.999899999999997</v>
      </c>
      <c r="V54" s="10">
        <f t="shared" si="18"/>
        <v>-99.999899999999997</v>
      </c>
      <c r="W54">
        <f t="shared" si="45"/>
        <v>23301.115410900929</v>
      </c>
      <c r="X54" s="10">
        <f t="shared" si="47"/>
        <v>23201.115510900931</v>
      </c>
      <c r="Y54" s="10">
        <f t="shared" si="2"/>
        <v>0</v>
      </c>
      <c r="Z54">
        <f t="shared" si="3"/>
        <v>0</v>
      </c>
      <c r="AA54" s="10">
        <f t="shared" si="4"/>
        <v>0</v>
      </c>
      <c r="AB54" s="10">
        <f t="shared" si="5"/>
        <v>0</v>
      </c>
      <c r="AC54" s="10">
        <f t="shared" si="6"/>
        <v>0</v>
      </c>
      <c r="AD54" s="10">
        <f t="shared" si="7"/>
        <v>1E-4</v>
      </c>
      <c r="AE54">
        <f t="shared" si="20"/>
        <v>0</v>
      </c>
      <c r="AF54" s="10">
        <f t="shared" si="8"/>
        <v>-100</v>
      </c>
      <c r="AG54" s="10">
        <f t="shared" si="21"/>
        <v>0</v>
      </c>
      <c r="AH54" s="10">
        <f t="shared" si="22"/>
        <v>-99.999899999999997</v>
      </c>
      <c r="AI54">
        <f t="shared" si="9"/>
        <v>7160.8381206484364</v>
      </c>
      <c r="AJ54">
        <f t="shared" si="10"/>
        <v>3580.4190603242182</v>
      </c>
      <c r="AK54" s="10">
        <f t="shared" si="11"/>
        <v>12459.858329928275</v>
      </c>
      <c r="AL54" s="4">
        <f t="shared" si="23"/>
        <v>0.30864197530864207</v>
      </c>
      <c r="AM54">
        <f t="shared" si="12"/>
        <v>7160.8381206484364</v>
      </c>
      <c r="AN54" s="10">
        <f t="shared" si="46"/>
        <v>3580.4190603242182</v>
      </c>
      <c r="AO54" s="10">
        <f t="shared" si="24"/>
        <v>12559.858229928275</v>
      </c>
      <c r="AP54" s="10">
        <f t="shared" si="25"/>
        <v>16140.277290252494</v>
      </c>
      <c r="AQ54" s="9">
        <f t="shared" si="26"/>
        <v>0.2218313227175174</v>
      </c>
      <c r="AR54" s="9">
        <f t="shared" si="27"/>
        <v>0.77816867728248262</v>
      </c>
      <c r="AS54">
        <f t="shared" si="39"/>
        <v>7160.8381206484364</v>
      </c>
      <c r="AT54">
        <f t="shared" si="40"/>
        <v>3580.4190603242182</v>
      </c>
      <c r="AU54">
        <f t="shared" si="41"/>
        <v>12559.858229928273</v>
      </c>
      <c r="AV54">
        <f t="shared" si="31"/>
        <v>0.30731739637229516</v>
      </c>
      <c r="AW54">
        <f t="shared" si="32"/>
        <v>0.15365869818614758</v>
      </c>
      <c r="AX54">
        <f t="shared" si="33"/>
        <v>0.53902390544155721</v>
      </c>
      <c r="AY54" s="3">
        <f t="shared" si="13"/>
        <v>4.7682934909307376E-2</v>
      </c>
      <c r="AZ54">
        <f t="shared" si="14"/>
        <v>3.8249812755783777E-3</v>
      </c>
      <c r="BA54" s="11">
        <f t="shared" si="34"/>
        <v>4.577044427151819E-2</v>
      </c>
    </row>
    <row r="55" spans="8:53" x14ac:dyDescent="0.2">
      <c r="H55" s="9"/>
    </row>
    <row r="56" spans="8:53" x14ac:dyDescent="0.2">
      <c r="H5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76D6-9827-8A46-B93D-51688782745E}">
  <dimension ref="A1:BA56"/>
  <sheetViews>
    <sheetView zoomScale="93" workbookViewId="0">
      <selection activeCell="I11" sqref="I11"/>
    </sheetView>
  </sheetViews>
  <sheetFormatPr baseColWidth="10" defaultRowHeight="16" x14ac:dyDescent="0.2"/>
  <cols>
    <col min="1" max="1" width="14" bestFit="1" customWidth="1"/>
    <col min="2" max="2" width="13.83203125" customWidth="1"/>
    <col min="3" max="3" width="16.83203125" bestFit="1" customWidth="1"/>
    <col min="6" max="6" width="2.83203125" customWidth="1"/>
    <col min="12" max="12" width="15.1640625" customWidth="1"/>
    <col min="13" max="13" width="14.33203125" bestFit="1" customWidth="1"/>
    <col min="14" max="14" width="10.83203125" customWidth="1"/>
    <col min="15" max="15" width="11.33203125" bestFit="1" customWidth="1"/>
    <col min="16" max="20" width="11.33203125" customWidth="1"/>
    <col min="23" max="23" width="10.83203125" customWidth="1"/>
    <col min="24" max="25" width="9.33203125" customWidth="1"/>
    <col min="33" max="33" width="10.83203125" customWidth="1"/>
    <col min="47" max="47" width="13.6640625" bestFit="1" customWidth="1"/>
  </cols>
  <sheetData>
    <row r="1" spans="1:53" x14ac:dyDescent="0.2">
      <c r="A1" s="1" t="s">
        <v>0</v>
      </c>
      <c r="H1" s="1" t="s">
        <v>26</v>
      </c>
      <c r="T1" t="s">
        <v>77</v>
      </c>
    </row>
    <row r="2" spans="1:53" x14ac:dyDescent="0.2">
      <c r="A2" t="s">
        <v>1</v>
      </c>
      <c r="B2" s="7">
        <v>500</v>
      </c>
      <c r="C2" t="s">
        <v>27</v>
      </c>
      <c r="T2">
        <v>0</v>
      </c>
    </row>
    <row r="3" spans="1:53" ht="68" x14ac:dyDescent="0.2">
      <c r="A3" s="13" t="s">
        <v>23</v>
      </c>
      <c r="B3" s="17">
        <v>1E-4</v>
      </c>
      <c r="H3" s="12" t="s">
        <v>25</v>
      </c>
      <c r="I3" s="12" t="s">
        <v>29</v>
      </c>
      <c r="J3" s="12" t="s">
        <v>30</v>
      </c>
      <c r="K3" s="12" t="s">
        <v>2</v>
      </c>
      <c r="L3" s="12" t="s">
        <v>31</v>
      </c>
      <c r="M3" s="12" t="s">
        <v>32</v>
      </c>
      <c r="N3" s="12" t="s">
        <v>28</v>
      </c>
      <c r="O3" s="12" t="s">
        <v>33</v>
      </c>
      <c r="P3" s="12" t="s">
        <v>54</v>
      </c>
      <c r="Q3" s="12" t="s">
        <v>41</v>
      </c>
      <c r="R3" s="12" t="s">
        <v>42</v>
      </c>
      <c r="S3" s="12" t="s">
        <v>46</v>
      </c>
      <c r="T3" s="12" t="s">
        <v>76</v>
      </c>
      <c r="U3" s="12" t="s">
        <v>35</v>
      </c>
      <c r="V3" s="12" t="s">
        <v>71</v>
      </c>
      <c r="W3" s="12" t="s">
        <v>34</v>
      </c>
      <c r="X3" s="12" t="s">
        <v>36</v>
      </c>
      <c r="Y3" s="12" t="s">
        <v>48</v>
      </c>
      <c r="Z3" s="12" t="s">
        <v>47</v>
      </c>
      <c r="AA3" s="12" t="s">
        <v>49</v>
      </c>
      <c r="AB3" s="12" t="s">
        <v>50</v>
      </c>
      <c r="AC3" s="12" t="s">
        <v>51</v>
      </c>
      <c r="AD3" s="12" t="s">
        <v>52</v>
      </c>
      <c r="AE3" s="12" t="s">
        <v>53</v>
      </c>
      <c r="AF3" s="12" t="s">
        <v>55</v>
      </c>
      <c r="AG3" s="12" t="s">
        <v>59</v>
      </c>
      <c r="AH3" s="12" t="s">
        <v>60</v>
      </c>
      <c r="AI3" s="12" t="s">
        <v>37</v>
      </c>
      <c r="AJ3" s="12" t="s">
        <v>38</v>
      </c>
      <c r="AK3" s="12" t="s">
        <v>39</v>
      </c>
      <c r="AL3" s="12" t="s">
        <v>70</v>
      </c>
      <c r="AM3" s="12" t="s">
        <v>56</v>
      </c>
      <c r="AN3" s="12" t="s">
        <v>57</v>
      </c>
      <c r="AO3" s="12" t="s">
        <v>58</v>
      </c>
      <c r="AP3" s="12" t="s">
        <v>72</v>
      </c>
      <c r="AQ3" s="12" t="s">
        <v>74</v>
      </c>
      <c r="AR3" s="12" t="s">
        <v>75</v>
      </c>
      <c r="AS3" s="12" t="s">
        <v>61</v>
      </c>
      <c r="AT3" s="12" t="s">
        <v>62</v>
      </c>
      <c r="AU3" s="12" t="s">
        <v>63</v>
      </c>
      <c r="AV3" s="12" t="s">
        <v>64</v>
      </c>
      <c r="AW3" s="12" t="s">
        <v>65</v>
      </c>
      <c r="AX3" s="12" t="s">
        <v>66</v>
      </c>
      <c r="AY3" s="12" t="s">
        <v>67</v>
      </c>
      <c r="AZ3" s="12" t="s">
        <v>68</v>
      </c>
      <c r="BA3" s="12" t="s">
        <v>69</v>
      </c>
    </row>
    <row r="4" spans="1:53" x14ac:dyDescent="0.2">
      <c r="A4" t="s">
        <v>2</v>
      </c>
      <c r="B4" s="7">
        <v>250</v>
      </c>
      <c r="H4" s="10">
        <f>B11</f>
        <v>0</v>
      </c>
      <c r="I4">
        <f>IF($H4 = $B$11, 0, IF($H4 &lt; $B$12, $B$2,0))</f>
        <v>0</v>
      </c>
      <c r="J4">
        <f>IF($H4 = $B$11, 0, IF($H4 &gt;= $B$12, $B$3,0))</f>
        <v>0</v>
      </c>
      <c r="K4">
        <f>-IF($H4 = $B$11, 0, IF($H4 &gt;= $B$12, $B$6,$B$4))</f>
        <v>0</v>
      </c>
      <c r="L4" s="9">
        <f t="shared" ref="L4:L54" si="0">(1+$B$21)^($B$11-H4)</f>
        <v>1</v>
      </c>
      <c r="M4" s="11">
        <f t="shared" ref="M4:M54" si="1">(1 +$B$22) ^ (-(H4 - $B$11))</f>
        <v>1</v>
      </c>
      <c r="N4" s="10">
        <f>SUMPRODUCT(I5:I$54, L5:L$54) / L4</f>
        <v>9861.0131475314283</v>
      </c>
      <c r="O4" s="10">
        <f>SUMPRODUCT(J5:J$54, M5:M$54) / M4</f>
        <v>6.4249865616167721E-4</v>
      </c>
      <c r="P4" s="10">
        <f>SUMPRODUCT(K5:K$54, M5:M$54) / M4</f>
        <v>-7855.901473412976</v>
      </c>
      <c r="Q4" s="10" cm="1">
        <f t="array" ref="Q4">IF($H4 &gt;= $B$12 - 1, 0, SUMPRODUCT(I5:I$54*L5:L$54, $H5:$H$54 - $H4) / L4 /N4) / (1 + $B$10)</f>
        <v>14.197562161072323</v>
      </c>
      <c r="R4" s="10" cm="1">
        <f t="array" ref="R4">SUMPRODUCT(J5:J$54*L5:L$54, $H5:$H$54 - $H4) / L4 /O4 / (1 + $B$10)</f>
        <v>21.428327414120588</v>
      </c>
      <c r="S4" s="10" cm="1">
        <f t="array" ref="S4">SUMPRODUCT(K5:K$54*M5:M$54, $H5:$H$54 - $H4) / M4 /P4 / (1 + $B$10)</f>
        <v>21.021544843880971</v>
      </c>
      <c r="T4" s="10">
        <v>0</v>
      </c>
      <c r="U4">
        <f>I4+J4+K4</f>
        <v>0</v>
      </c>
      <c r="V4" s="10">
        <f>SUM(N4:P4)</f>
        <v>2005.1123166171092</v>
      </c>
      <c r="W4">
        <f>U4 + B5</f>
        <v>100</v>
      </c>
      <c r="X4" s="10">
        <f>V4 + W4</f>
        <v>2105.1123166171092</v>
      </c>
      <c r="Y4" s="10">
        <f t="shared" ref="Y4:Y54" si="2">N4-Z4</f>
        <v>5916.6078885188563</v>
      </c>
      <c r="Z4">
        <f t="shared" ref="Z4:Z54" si="3">N4 * $B$9</f>
        <v>3944.4052590125716</v>
      </c>
      <c r="AA4" s="10">
        <f t="shared" ref="AA4:AA54" si="4">Q4 / $B$17 * Y4</f>
        <v>4540.6166637803963</v>
      </c>
      <c r="AB4" s="10">
        <f t="shared" ref="AB4:AB54" si="5">Y4 - AA4</f>
        <v>1375.99122473846</v>
      </c>
      <c r="AC4" s="10">
        <f t="shared" ref="AC4:AC54" si="6">R4/$B$17 * O4</f>
        <v>7.4419846310080581E-4</v>
      </c>
      <c r="AD4" s="10">
        <f t="shared" ref="AD4:AD54" si="7">O4-AC4</f>
        <v>-1.016998069391286E-4</v>
      </c>
      <c r="AE4">
        <f>S4/$B$17 * P4</f>
        <v>-8926.6586547276456</v>
      </c>
      <c r="AF4" s="10">
        <f t="shared" ref="AF4:AF54" si="8">P4-AE4</f>
        <v>1070.7571813146697</v>
      </c>
      <c r="AG4" s="10">
        <f>AA4 + AC4 + AE4</f>
        <v>-4386.0412467487859</v>
      </c>
      <c r="AH4" s="10">
        <f>AF4 + AD4 + AB4</f>
        <v>2446.748304353323</v>
      </c>
      <c r="AI4">
        <f t="shared" ref="AI4:AI54" si="9">$B$30 * X4</f>
        <v>1299.4520472945119</v>
      </c>
      <c r="AJ4">
        <f t="shared" ref="AJ4:AJ54" si="10">X4 * $B$31</f>
        <v>324.86301182362797</v>
      </c>
      <c r="AK4" s="10">
        <f t="shared" ref="AK4:AK54" si="11">X4 - AI4 - AJ4</f>
        <v>480.79725749896932</v>
      </c>
      <c r="AL4" s="4">
        <f>AI4/SUM(AI4:AK4)</f>
        <v>0.61728395061728403</v>
      </c>
      <c r="AM4">
        <f t="shared" ref="AM4:AM54" si="12">AI4 - Z4</f>
        <v>-2644.9532117180597</v>
      </c>
      <c r="AN4" s="10">
        <f>AJ4 - AG4</f>
        <v>4710.9042585724137</v>
      </c>
      <c r="AO4" s="10">
        <f>AK4 - AH4</f>
        <v>-1965.9510468543535</v>
      </c>
      <c r="AP4" s="10">
        <f>SUM(AN4:AO4)</f>
        <v>2744.9532117180602</v>
      </c>
      <c r="AQ4" s="9">
        <f>MAX(0, MIN(AN4/AP4, 1))</f>
        <v>1</v>
      </c>
      <c r="AR4" s="9">
        <f>MAX(0,MIN(AO4/AP4, 1))</f>
        <v>0</v>
      </c>
      <c r="AS4">
        <f>MAX(MIN($W4,AM4), 0)</f>
        <v>0</v>
      </c>
      <c r="AT4">
        <f>MIN(IF(AP4 &lt; 0, 0, AQ4 * AP4),W4)</f>
        <v>100</v>
      </c>
      <c r="AU4">
        <f>W4-AS4-AT4</f>
        <v>0</v>
      </c>
      <c r="AV4">
        <f>IF(AM4 &gt; W4, 1, AS4 / SUM($AS4:$AU4))</f>
        <v>0</v>
      </c>
      <c r="AW4">
        <f>IF(AV4 = 1, 0, AT4 / SUM($AS4:$AU4))</f>
        <v>1</v>
      </c>
      <c r="AX4">
        <f>IF(AV4 = 1, 0, AU4 / SUM($AS4:$AU4))</f>
        <v>0</v>
      </c>
      <c r="AY4" s="3">
        <f t="shared" ref="AY4:AY54" si="13">AV4*$B$15+$B$16*AW4 + $B$10</f>
        <v>0.03</v>
      </c>
      <c r="AZ4">
        <f t="shared" ref="AZ4:AZ54" si="14">$C$15^2 * AV4^2 + AW4^2 * $C$16^2 + 2 * $C$15 * $C$16 * $D$15 * AV4 * AW4</f>
        <v>3.2399999999999998E-2</v>
      </c>
      <c r="BA4" s="11">
        <f>AY4 - 1/2 * AZ4</f>
        <v>1.38E-2</v>
      </c>
    </row>
    <row r="5" spans="1:53" x14ac:dyDescent="0.2">
      <c r="A5" t="s">
        <v>73</v>
      </c>
      <c r="B5" s="7">
        <v>100</v>
      </c>
      <c r="H5" s="10">
        <f>H4+1</f>
        <v>1</v>
      </c>
      <c r="I5">
        <f t="shared" ref="I5:I54" si="15">IF($H5 = $B$11, 0, IF($H5 &lt; $B$12, $B$2,0))</f>
        <v>500</v>
      </c>
      <c r="J5">
        <f t="shared" ref="J5:J54" si="16">IF($H5 = $B$11, 0, IF($H5 &gt;= $B$12, $B$3,0))</f>
        <v>0</v>
      </c>
      <c r="K5">
        <f t="shared" ref="K5:K54" si="17">-IF($H5 = $B$11, 0, IF($H5 &gt;= $B$12, $B$6,$B$4))</f>
        <v>-250</v>
      </c>
      <c r="L5" s="9">
        <f t="shared" si="0"/>
        <v>0.96525096525096521</v>
      </c>
      <c r="M5" s="11">
        <f t="shared" si="1"/>
        <v>0.98039215686274506</v>
      </c>
      <c r="N5" s="10">
        <f>SUMPRODUCT(I6:I$54, L6:L$54) / L5</f>
        <v>9716.0096208425621</v>
      </c>
      <c r="O5" s="10">
        <f>SUMPRODUCT(J6:J$54, M6:M$54) / M5</f>
        <v>6.5534862928491079E-4</v>
      </c>
      <c r="P5" s="10">
        <f>SUMPRODUCT(K6:K$54, M6:M$54) / M5</f>
        <v>-7763.019502881235</v>
      </c>
      <c r="Q5" s="10" cm="1">
        <f t="array" ref="Q5">IF($H5 &gt;= $B$12 - 1, 0, SUMPRODUCT(I6:I$54*L6:L$54, $H6:$H$54 - $H5) / L5 /N5) / (1 + $B$10)</f>
        <v>13.89734481465112</v>
      </c>
      <c r="R5" s="10" cm="1">
        <f t="array" ref="R5">SUMPRODUCT(J6:J$54*L6:L$54, $H6:$H$54 - $H5) / L5 /O5 / (1 + $B$10)</f>
        <v>21.250453178465257</v>
      </c>
      <c r="S5" s="10" cm="1">
        <f t="array" ref="S5">SUMPRODUCT(K6:K$54*M6:M$54, $H6:$H$54 - $H5) / M5 /P5 / (1 + $B$10)</f>
        <v>20.686557245115118</v>
      </c>
      <c r="T5" s="10">
        <f>-$B$34 * X4 * $T$2</f>
        <v>0</v>
      </c>
      <c r="U5" s="10">
        <f>I5+J5+K5+T5</f>
        <v>250</v>
      </c>
      <c r="V5" s="10">
        <f t="shared" ref="V5:V54" si="18">SUM(N5:P5)</f>
        <v>1952.9907733099562</v>
      </c>
      <c r="W5">
        <f>W4 * (1+BA4) + U5</f>
        <v>351.38</v>
      </c>
      <c r="X5" s="10">
        <f t="shared" ref="X5:X32" si="19">V5 + W5</f>
        <v>2304.3707733099563</v>
      </c>
      <c r="Y5" s="10">
        <f t="shared" si="2"/>
        <v>5829.6057725055371</v>
      </c>
      <c r="Z5">
        <f t="shared" si="3"/>
        <v>3886.403848337025</v>
      </c>
      <c r="AA5" s="10">
        <f t="shared" si="4"/>
        <v>4379.2454894048678</v>
      </c>
      <c r="AB5" s="10">
        <f t="shared" si="5"/>
        <v>1450.3602831006692</v>
      </c>
      <c r="AC5" s="10">
        <f t="shared" si="6"/>
        <v>7.5278137092920987E-4</v>
      </c>
      <c r="AD5" s="10">
        <f t="shared" si="7"/>
        <v>-9.7432741644299086E-5</v>
      </c>
      <c r="AE5">
        <f t="shared" ref="AE5:AE54" si="20">S5/$B$17 * P5</f>
        <v>-8680.5485049350154</v>
      </c>
      <c r="AF5" s="10">
        <f t="shared" si="8"/>
        <v>917.52900205378046</v>
      </c>
      <c r="AG5" s="10">
        <f t="shared" ref="AG5:AG54" si="21">AA5 + AC5 + AE5</f>
        <v>-4301.3022627487762</v>
      </c>
      <c r="AH5" s="10">
        <f t="shared" ref="AH5:AH54" si="22">AF5 + AD5 + AB5</f>
        <v>2367.8891877217079</v>
      </c>
      <c r="AI5">
        <f t="shared" si="9"/>
        <v>1422.4510946357757</v>
      </c>
      <c r="AJ5">
        <f t="shared" si="10"/>
        <v>355.61277365894392</v>
      </c>
      <c r="AK5" s="10">
        <f t="shared" si="11"/>
        <v>526.30690501523668</v>
      </c>
      <c r="AL5" s="4">
        <f t="shared" ref="AL5:AL54" si="23">AI5/SUM(AI5:AK5)</f>
        <v>0.61728395061728403</v>
      </c>
      <c r="AM5">
        <f t="shared" si="12"/>
        <v>-2463.9527537012491</v>
      </c>
      <c r="AN5" s="10">
        <f t="shared" ref="AN5:AO54" si="24">AJ5 - AG5</f>
        <v>4656.9150364077204</v>
      </c>
      <c r="AO5" s="10">
        <f t="shared" si="24"/>
        <v>-1841.5822827064712</v>
      </c>
      <c r="AP5" s="10">
        <f t="shared" ref="AP5:AP54" si="25">SUM(AN5:AO5)</f>
        <v>2815.3327537012492</v>
      </c>
      <c r="AQ5" s="9">
        <f t="shared" ref="AQ5:AQ54" si="26">MAX(0, MIN(AN5/AP5, 1))</f>
        <v>1</v>
      </c>
      <c r="AR5" s="9">
        <f t="shared" ref="AR5:AR54" si="27">MAX(0,MIN(AO5/AP5, 1))</f>
        <v>0</v>
      </c>
      <c r="AS5">
        <f t="shared" ref="AS5:AS17" si="28">MAX(MIN($W5,AM5), 0)</f>
        <v>0</v>
      </c>
      <c r="AT5">
        <f t="shared" ref="AT5:AT17" si="29">MIN(IF(AP5 &lt; 0, 0, AQ5 * AP5),W5)</f>
        <v>351.38</v>
      </c>
      <c r="AU5">
        <f t="shared" ref="AU5:AU17" si="30">W5-AS5-AT5</f>
        <v>0</v>
      </c>
      <c r="AV5">
        <f t="shared" ref="AV5:AV54" si="31">IF(AM5 &gt; W5, 1, AS5 / SUM($AS5:$AU5))</f>
        <v>0</v>
      </c>
      <c r="AW5">
        <f t="shared" ref="AW5:AW54" si="32">IF(AV5 = 1, 0, AT5 / SUM($AS5:$AU5))</f>
        <v>1</v>
      </c>
      <c r="AX5">
        <f t="shared" ref="AX5:AX54" si="33">IF(AV5 = 1, 0, AU5 / SUM($AS5:$AU5))</f>
        <v>0</v>
      </c>
      <c r="AY5" s="3">
        <f t="shared" si="13"/>
        <v>0.03</v>
      </c>
      <c r="AZ5">
        <f t="shared" si="14"/>
        <v>3.2399999999999998E-2</v>
      </c>
      <c r="BA5" s="11">
        <f t="shared" ref="BA5:BA54" si="34">AY5 - 1/2 * AZ5</f>
        <v>1.38E-2</v>
      </c>
    </row>
    <row r="6" spans="1:53" x14ac:dyDescent="0.2">
      <c r="A6" t="s">
        <v>22</v>
      </c>
      <c r="B6" s="7">
        <f>B4</f>
        <v>250</v>
      </c>
      <c r="H6" s="10">
        <f t="shared" ref="H6:H54" si="35">H5+1</f>
        <v>2</v>
      </c>
      <c r="I6">
        <f t="shared" si="15"/>
        <v>500</v>
      </c>
      <c r="J6">
        <f t="shared" si="16"/>
        <v>0</v>
      </c>
      <c r="K6">
        <f t="shared" si="17"/>
        <v>-250</v>
      </c>
      <c r="L6" s="9">
        <f t="shared" si="0"/>
        <v>0.93170942591792005</v>
      </c>
      <c r="M6" s="11">
        <f t="shared" si="1"/>
        <v>0.96116878123798544</v>
      </c>
      <c r="N6" s="10">
        <f>SUMPRODUCT(I7:I$54, L7:L$54) / L6</f>
        <v>9565.7859671928945</v>
      </c>
      <c r="O6" s="10">
        <f>SUMPRODUCT(J7:J$54, M7:M$54) / M6</f>
        <v>6.6845560187060889E-4</v>
      </c>
      <c r="P6" s="10">
        <f>SUMPRODUCT(K7:K$54, M7:M$54) / M6</f>
        <v>-7668.27989293886</v>
      </c>
      <c r="Q6" s="10" cm="1">
        <f t="array" ref="Q6">IF($H6 &gt;= $B$12 - 1, 0, SUMPRODUCT(I7:I$54*L7:L$54, $H7:$H$54 - $H6) / L6 /N6) / (1 + $B$10)</f>
        <v>13.592116868136001</v>
      </c>
      <c r="R6" s="10" cm="1">
        <f t="array" ref="R6">SUMPRODUCT(J7:J$54*L7:L$54, $H7:$H$54 - $H6) / L6 /O6 / (1 + $B$10)</f>
        <v>21.061725937360286</v>
      </c>
      <c r="S6" s="10" cm="1">
        <f t="array" ref="S6">SUMPRODUCT(K7:K$54*M7:M$54, $H7:$H$54 - $H6) / M6 /P6 / (1 + $B$10)</f>
        <v>20.348622241726854</v>
      </c>
      <c r="T6" s="10">
        <f t="shared" ref="T6:T54" si="36">-$B$34 * X5 * $T$2</f>
        <v>0</v>
      </c>
      <c r="U6" s="10">
        <f t="shared" ref="U6:U54" si="37">I6+J6+K6+T6</f>
        <v>250</v>
      </c>
      <c r="V6" s="10">
        <f t="shared" si="18"/>
        <v>1897.5067427096355</v>
      </c>
      <c r="W6">
        <f t="shared" ref="W6:W24" si="38">W5 * (1+BA5) + U6</f>
        <v>606.22904399999993</v>
      </c>
      <c r="X6" s="10">
        <f t="shared" si="19"/>
        <v>2503.7357867096352</v>
      </c>
      <c r="Y6" s="10">
        <f t="shared" si="2"/>
        <v>5739.471580315736</v>
      </c>
      <c r="Z6">
        <f t="shared" si="3"/>
        <v>3826.3143868771581</v>
      </c>
      <c r="AA6" s="10">
        <f t="shared" si="4"/>
        <v>4216.8415395133352</v>
      </c>
      <c r="AB6" s="10">
        <f t="shared" si="5"/>
        <v>1522.6300408024008</v>
      </c>
      <c r="AC6" s="10">
        <f t="shared" si="6"/>
        <v>7.6101776691308025E-4</v>
      </c>
      <c r="AD6" s="10">
        <f t="shared" si="7"/>
        <v>-9.2562165042471361E-5</v>
      </c>
      <c r="AE6">
        <f t="shared" si="20"/>
        <v>-8434.5367992022984</v>
      </c>
      <c r="AF6" s="10">
        <f t="shared" si="8"/>
        <v>766.2569062634384</v>
      </c>
      <c r="AG6" s="10">
        <f t="shared" si="21"/>
        <v>-4217.694498671196</v>
      </c>
      <c r="AH6" s="10">
        <f t="shared" si="22"/>
        <v>2288.8868545036739</v>
      </c>
      <c r="AI6">
        <f t="shared" si="9"/>
        <v>1545.5159177219973</v>
      </c>
      <c r="AJ6">
        <f t="shared" si="10"/>
        <v>386.37897943049933</v>
      </c>
      <c r="AK6" s="10">
        <f t="shared" si="11"/>
        <v>571.84088955713855</v>
      </c>
      <c r="AL6" s="4">
        <f t="shared" si="23"/>
        <v>0.61728395061728403</v>
      </c>
      <c r="AM6">
        <f t="shared" si="12"/>
        <v>-2280.798469155161</v>
      </c>
      <c r="AN6" s="10">
        <f t="shared" si="24"/>
        <v>4604.0734781016954</v>
      </c>
      <c r="AO6" s="10">
        <f t="shared" si="24"/>
        <v>-1717.0459649465354</v>
      </c>
      <c r="AP6" s="10">
        <f t="shared" si="25"/>
        <v>2887.0275131551598</v>
      </c>
      <c r="AQ6" s="9">
        <f t="shared" si="26"/>
        <v>1</v>
      </c>
      <c r="AR6" s="9">
        <f t="shared" si="27"/>
        <v>0</v>
      </c>
      <c r="AS6">
        <f t="shared" si="28"/>
        <v>0</v>
      </c>
      <c r="AT6">
        <f t="shared" si="29"/>
        <v>606.22904399999993</v>
      </c>
      <c r="AU6">
        <f t="shared" si="30"/>
        <v>0</v>
      </c>
      <c r="AV6">
        <f t="shared" si="31"/>
        <v>0</v>
      </c>
      <c r="AW6">
        <f t="shared" si="32"/>
        <v>1</v>
      </c>
      <c r="AX6">
        <f t="shared" si="33"/>
        <v>0</v>
      </c>
      <c r="AY6" s="3">
        <f t="shared" si="13"/>
        <v>0.03</v>
      </c>
      <c r="AZ6">
        <f t="shared" si="14"/>
        <v>3.2399999999999998E-2</v>
      </c>
      <c r="BA6" s="11">
        <f t="shared" si="34"/>
        <v>1.38E-2</v>
      </c>
    </row>
    <row r="7" spans="1:53" x14ac:dyDescent="0.2">
      <c r="A7" t="s">
        <v>16</v>
      </c>
      <c r="B7" s="7">
        <v>2</v>
      </c>
      <c r="H7" s="10">
        <f t="shared" si="35"/>
        <v>3</v>
      </c>
      <c r="I7">
        <f t="shared" si="15"/>
        <v>500</v>
      </c>
      <c r="J7">
        <f t="shared" si="16"/>
        <v>0</v>
      </c>
      <c r="K7">
        <f t="shared" si="17"/>
        <v>-250</v>
      </c>
      <c r="L7" s="9">
        <f t="shared" si="0"/>
        <v>0.89933342270069505</v>
      </c>
      <c r="M7" s="11">
        <f t="shared" si="1"/>
        <v>0.94232233454704462</v>
      </c>
      <c r="N7" s="10">
        <f>SUMPRODUCT(I8:I$54, L8:L$54) / L7</f>
        <v>9410.154262011838</v>
      </c>
      <c r="O7" s="10">
        <f>SUMPRODUCT(J8:J$54, M8:M$54) / M7</f>
        <v>6.8182471390802106E-4</v>
      </c>
      <c r="P7" s="10">
        <f>SUMPRODUCT(K8:K$54, M8:M$54) / M7</f>
        <v>-7571.6454907976358</v>
      </c>
      <c r="Q7" s="10" cm="1">
        <f t="array" ref="Q7">IF($H7 &gt;= $B$12 - 1, 0, SUMPRODUCT(I8:I$54*L8:L$54, $H8:$H$54 - $H7) / L7 /N7) / (1 + $B$10)</f>
        <v>13.281837249289023</v>
      </c>
      <c r="R7" s="10" cm="1">
        <f t="array" ref="R7">SUMPRODUCT(J8:J$54*L8:L$54, $H8:$H$54 - $H7) / L7 /O7 / (1 + $B$10)</f>
        <v>20.861848971953744</v>
      </c>
      <c r="S7" s="10" cm="1">
        <f t="array" ref="S7">SUMPRODUCT(K8:K$54*M8:M$54, $H8:$H$54 - $H7) / M7 /P7 / (1 + $B$10)</f>
        <v>20.007728794504025</v>
      </c>
      <c r="T7" s="10">
        <f t="shared" si="36"/>
        <v>0</v>
      </c>
      <c r="U7" s="10">
        <f t="shared" si="37"/>
        <v>250</v>
      </c>
      <c r="V7" s="10">
        <f t="shared" si="18"/>
        <v>1838.5094530389169</v>
      </c>
      <c r="W7">
        <f t="shared" si="38"/>
        <v>864.59500480719998</v>
      </c>
      <c r="X7" s="10">
        <f t="shared" si="19"/>
        <v>2703.1044578461169</v>
      </c>
      <c r="Y7" s="10">
        <f t="shared" si="2"/>
        <v>5646.0925572071028</v>
      </c>
      <c r="Z7">
        <f t="shared" si="3"/>
        <v>3764.0617048047352</v>
      </c>
      <c r="AA7" s="10">
        <f t="shared" si="4"/>
        <v>4053.5395913106381</v>
      </c>
      <c r="AB7" s="10">
        <f t="shared" si="5"/>
        <v>1592.5529658964647</v>
      </c>
      <c r="AC7" s="10">
        <f t="shared" si="6"/>
        <v>7.6887157875106516E-4</v>
      </c>
      <c r="AD7" s="10">
        <f t="shared" si="7"/>
        <v>-8.7046864843044096E-5</v>
      </c>
      <c r="AE7">
        <f t="shared" si="20"/>
        <v>-8188.7259193518066</v>
      </c>
      <c r="AF7" s="10">
        <f t="shared" si="8"/>
        <v>617.08042855417079</v>
      </c>
      <c r="AG7" s="10">
        <f t="shared" si="21"/>
        <v>-4135.1855591695894</v>
      </c>
      <c r="AH7" s="10">
        <f t="shared" si="22"/>
        <v>2209.6333074037707</v>
      </c>
      <c r="AI7">
        <f t="shared" si="9"/>
        <v>1668.5829986704427</v>
      </c>
      <c r="AJ7">
        <f t="shared" si="10"/>
        <v>417.14574966761069</v>
      </c>
      <c r="AK7" s="10">
        <f t="shared" si="11"/>
        <v>617.37570950806344</v>
      </c>
      <c r="AL7" s="4">
        <f t="shared" si="23"/>
        <v>0.61728395061728403</v>
      </c>
      <c r="AM7">
        <f t="shared" si="12"/>
        <v>-2095.4787061342922</v>
      </c>
      <c r="AN7" s="10">
        <f t="shared" si="24"/>
        <v>4552.3313088371997</v>
      </c>
      <c r="AO7" s="10">
        <f t="shared" si="24"/>
        <v>-1592.2575978957072</v>
      </c>
      <c r="AP7" s="10">
        <f t="shared" si="25"/>
        <v>2960.0737109414922</v>
      </c>
      <c r="AQ7" s="9">
        <f t="shared" si="26"/>
        <v>1</v>
      </c>
      <c r="AR7" s="9">
        <f t="shared" si="27"/>
        <v>0</v>
      </c>
      <c r="AS7">
        <f t="shared" si="28"/>
        <v>0</v>
      </c>
      <c r="AT7">
        <f t="shared" si="29"/>
        <v>864.59500480719998</v>
      </c>
      <c r="AU7">
        <f t="shared" si="30"/>
        <v>0</v>
      </c>
      <c r="AV7">
        <f t="shared" si="31"/>
        <v>0</v>
      </c>
      <c r="AW7">
        <f t="shared" si="32"/>
        <v>1</v>
      </c>
      <c r="AX7">
        <f t="shared" si="33"/>
        <v>0</v>
      </c>
      <c r="AY7" s="3">
        <f t="shared" si="13"/>
        <v>0.03</v>
      </c>
      <c r="AZ7">
        <f t="shared" si="14"/>
        <v>3.2399999999999998E-2</v>
      </c>
      <c r="BA7" s="11">
        <f t="shared" si="34"/>
        <v>1.38E-2</v>
      </c>
    </row>
    <row r="8" spans="1:53" x14ac:dyDescent="0.2">
      <c r="H8" s="10">
        <f t="shared" si="35"/>
        <v>4</v>
      </c>
      <c r="I8">
        <f t="shared" si="15"/>
        <v>500</v>
      </c>
      <c r="J8">
        <f t="shared" si="16"/>
        <v>0</v>
      </c>
      <c r="K8">
        <f t="shared" si="17"/>
        <v>-250</v>
      </c>
      <c r="L8" s="9">
        <f t="shared" si="0"/>
        <v>0.8680824543443002</v>
      </c>
      <c r="M8" s="11">
        <f t="shared" si="1"/>
        <v>0.9238454260265142</v>
      </c>
      <c r="N8" s="10">
        <f>SUMPRODUCT(I9:I$54, L9:L$54) / L8</f>
        <v>9248.9198154442638</v>
      </c>
      <c r="O8" s="10">
        <f>SUMPRODUCT(J9:J$54, M9:M$54) / M8</f>
        <v>6.9546120818618159E-4</v>
      </c>
      <c r="P8" s="10">
        <f>SUMPRODUCT(K9:K$54, M9:M$54) / M8</f>
        <v>-7473.07840061359</v>
      </c>
      <c r="Q8" s="10" cm="1">
        <f t="array" ref="Q8">IF($H8 &gt;= $B$12 - 1, 0, SUMPRODUCT(I9:I$54*L9:L$54, $H9:$H$54 - $H8) / L8 /N8) / (1 + $B$10)</f>
        <v>12.96646572931648</v>
      </c>
      <c r="R8" s="10" cm="1">
        <f t="array" ref="R8">SUMPRODUCT(J9:J$54*L9:L$54, $H9:$H$54 - $H8) / L8 /O8 / (1 + $B$10)</f>
        <v>20.650518925048893</v>
      </c>
      <c r="S8" s="10" cm="1">
        <f t="array" ref="S8">SUMPRODUCT(K9:K$54*M9:M$54, $H9:$H$54 - $H8) / M8 /P8 / (1 + $B$10)</f>
        <v>19.663866044186744</v>
      </c>
      <c r="T8" s="10">
        <f t="shared" si="36"/>
        <v>0</v>
      </c>
      <c r="U8" s="10">
        <f t="shared" si="37"/>
        <v>250</v>
      </c>
      <c r="V8" s="10">
        <f t="shared" si="18"/>
        <v>1775.8421102918828</v>
      </c>
      <c r="W8">
        <f t="shared" si="38"/>
        <v>1126.5264158735395</v>
      </c>
      <c r="X8" s="10">
        <f t="shared" si="19"/>
        <v>2902.3685261654223</v>
      </c>
      <c r="Y8" s="10">
        <f t="shared" si="2"/>
        <v>5549.3518892665579</v>
      </c>
      <c r="Z8">
        <f t="shared" si="3"/>
        <v>3699.5679261777059</v>
      </c>
      <c r="AA8" s="10">
        <f t="shared" si="4"/>
        <v>3889.4854644374318</v>
      </c>
      <c r="AB8" s="10">
        <f t="shared" si="5"/>
        <v>1659.8664248291261</v>
      </c>
      <c r="AC8" s="10">
        <f t="shared" si="6"/>
        <v>7.7630458601546544E-4</v>
      </c>
      <c r="AD8" s="10">
        <f t="shared" si="7"/>
        <v>-8.0843377829283849E-5</v>
      </c>
      <c r="AE8">
        <f t="shared" si="20"/>
        <v>-7943.2223031011326</v>
      </c>
      <c r="AF8" s="10">
        <f t="shared" si="8"/>
        <v>470.14390248754262</v>
      </c>
      <c r="AG8" s="10">
        <f t="shared" si="21"/>
        <v>-4053.7360623591148</v>
      </c>
      <c r="AH8" s="10">
        <f t="shared" si="22"/>
        <v>2130.0102464732909</v>
      </c>
      <c r="AI8">
        <f t="shared" si="9"/>
        <v>1791.5855099786559</v>
      </c>
      <c r="AJ8">
        <f t="shared" si="10"/>
        <v>447.89637749466397</v>
      </c>
      <c r="AK8" s="10">
        <f t="shared" si="11"/>
        <v>662.88663869210245</v>
      </c>
      <c r="AL8" s="4">
        <f t="shared" si="23"/>
        <v>0.61728395061728392</v>
      </c>
      <c r="AM8">
        <f t="shared" si="12"/>
        <v>-1907.98241619905</v>
      </c>
      <c r="AN8" s="10">
        <f t="shared" si="24"/>
        <v>4501.632439853779</v>
      </c>
      <c r="AO8" s="10">
        <f t="shared" si="24"/>
        <v>-1467.1236077811884</v>
      </c>
      <c r="AP8" s="10">
        <f t="shared" si="25"/>
        <v>3034.5088320725908</v>
      </c>
      <c r="AQ8" s="9">
        <f t="shared" si="26"/>
        <v>1</v>
      </c>
      <c r="AR8" s="9">
        <f t="shared" si="27"/>
        <v>0</v>
      </c>
      <c r="AS8">
        <f t="shared" si="28"/>
        <v>0</v>
      </c>
      <c r="AT8">
        <f t="shared" si="29"/>
        <v>1126.5264158735395</v>
      </c>
      <c r="AU8">
        <f t="shared" si="30"/>
        <v>0</v>
      </c>
      <c r="AV8">
        <f t="shared" si="31"/>
        <v>0</v>
      </c>
      <c r="AW8">
        <f t="shared" si="32"/>
        <v>1</v>
      </c>
      <c r="AX8">
        <f t="shared" si="33"/>
        <v>0</v>
      </c>
      <c r="AY8" s="3">
        <f t="shared" si="13"/>
        <v>0.03</v>
      </c>
      <c r="AZ8">
        <f t="shared" si="14"/>
        <v>3.2399999999999998E-2</v>
      </c>
      <c r="BA8" s="11">
        <f t="shared" si="34"/>
        <v>1.38E-2</v>
      </c>
    </row>
    <row r="9" spans="1:53" x14ac:dyDescent="0.2">
      <c r="A9" t="s">
        <v>3</v>
      </c>
      <c r="B9" s="7">
        <v>0.4</v>
      </c>
      <c r="H9" s="10">
        <f t="shared" si="35"/>
        <v>5</v>
      </c>
      <c r="I9">
        <f t="shared" si="15"/>
        <v>500</v>
      </c>
      <c r="J9">
        <f t="shared" si="16"/>
        <v>0</v>
      </c>
      <c r="K9">
        <f t="shared" si="17"/>
        <v>-250</v>
      </c>
      <c r="L9" s="9">
        <f t="shared" si="0"/>
        <v>0.83791742697326266</v>
      </c>
      <c r="M9" s="11">
        <f t="shared" si="1"/>
        <v>0.90573080982991594</v>
      </c>
      <c r="N9" s="10">
        <f>SUMPRODUCT(I10:I$54, L10:L$54) / L9</f>
        <v>9081.8809288002594</v>
      </c>
      <c r="O9" s="10">
        <f>SUMPRODUCT(J10:J$54, M10:M$54) / M9</f>
        <v>7.0937043234990519E-4</v>
      </c>
      <c r="P9" s="10">
        <f>SUMPRODUCT(K10:K$54, M10:M$54) / M9</f>
        <v>-7372.5399686258625</v>
      </c>
      <c r="Q9" s="10" cm="1">
        <f t="array" ref="Q9">IF($H9 &gt;= $B$12 - 1, 0, SUMPRODUCT(I10:I$54*L10:L$54, $H10:$H$54 - $H9) / L9 /N9) / (1 + $B$10)</f>
        <v>12.645962953652498</v>
      </c>
      <c r="R9" s="10" cm="1">
        <f t="array" ref="R9">SUMPRODUCT(J10:J$54*L10:L$54, $H10:$H$54 - $H9) / L9 /O9 / (1 + $B$10)</f>
        <v>20.427425665852827</v>
      </c>
      <c r="S9" s="10" cm="1">
        <f t="array" ref="S9">SUMPRODUCT(K10:K$54*M10:M$54, $H10:$H$54 - $H9) / M9 /P9 / (1 + $B$10)</f>
        <v>19.317023314211895</v>
      </c>
      <c r="T9" s="10">
        <f t="shared" si="36"/>
        <v>0</v>
      </c>
      <c r="U9" s="10">
        <f t="shared" si="37"/>
        <v>250</v>
      </c>
      <c r="V9" s="10">
        <f t="shared" si="18"/>
        <v>1709.3416695448286</v>
      </c>
      <c r="W9">
        <f t="shared" si="38"/>
        <v>1392.0724804125944</v>
      </c>
      <c r="X9" s="10">
        <f t="shared" si="19"/>
        <v>3101.414149957423</v>
      </c>
      <c r="Y9" s="10">
        <f t="shared" si="2"/>
        <v>5449.1285572801553</v>
      </c>
      <c r="Z9">
        <f t="shared" si="3"/>
        <v>3632.7523715201041</v>
      </c>
      <c r="AA9" s="10">
        <f t="shared" si="4"/>
        <v>3724.8366413543094</v>
      </c>
      <c r="AB9" s="10">
        <f t="shared" si="5"/>
        <v>1724.2919159258458</v>
      </c>
      <c r="AC9" s="10">
        <f t="shared" si="6"/>
        <v>7.8327631223684148E-4</v>
      </c>
      <c r="AD9" s="10">
        <f t="shared" si="7"/>
        <v>-7.3905879886936292E-5</v>
      </c>
      <c r="AE9">
        <f t="shared" si="20"/>
        <v>-7698.1365653462062</v>
      </c>
      <c r="AF9" s="10">
        <f t="shared" si="8"/>
        <v>325.59659672034377</v>
      </c>
      <c r="AG9" s="10">
        <f t="shared" si="21"/>
        <v>-3973.2991407155846</v>
      </c>
      <c r="AH9" s="10">
        <f t="shared" si="22"/>
        <v>2049.8884387403095</v>
      </c>
      <c r="AI9">
        <f t="shared" si="9"/>
        <v>1914.4531789860639</v>
      </c>
      <c r="AJ9">
        <f t="shared" si="10"/>
        <v>478.61329474651598</v>
      </c>
      <c r="AK9" s="10">
        <f t="shared" si="11"/>
        <v>708.3476762248431</v>
      </c>
      <c r="AL9" s="4">
        <f t="shared" si="23"/>
        <v>0.61728395061728414</v>
      </c>
      <c r="AM9">
        <f t="shared" si="12"/>
        <v>-1718.2991925340402</v>
      </c>
      <c r="AN9" s="10">
        <f t="shared" si="24"/>
        <v>4451.9124354621008</v>
      </c>
      <c r="AO9" s="10">
        <f t="shared" si="24"/>
        <v>-1341.5407625154664</v>
      </c>
      <c r="AP9" s="10">
        <f t="shared" si="25"/>
        <v>3110.3716729466341</v>
      </c>
      <c r="AQ9" s="9">
        <f t="shared" si="26"/>
        <v>1</v>
      </c>
      <c r="AR9" s="9">
        <f t="shared" si="27"/>
        <v>0</v>
      </c>
      <c r="AS9">
        <f t="shared" si="28"/>
        <v>0</v>
      </c>
      <c r="AT9">
        <f t="shared" si="29"/>
        <v>1392.0724804125944</v>
      </c>
      <c r="AU9">
        <f t="shared" si="30"/>
        <v>0</v>
      </c>
      <c r="AV9">
        <f t="shared" si="31"/>
        <v>0</v>
      </c>
      <c r="AW9">
        <f t="shared" si="32"/>
        <v>1</v>
      </c>
      <c r="AX9">
        <f t="shared" si="33"/>
        <v>0</v>
      </c>
      <c r="AY9" s="3">
        <f t="shared" si="13"/>
        <v>0.03</v>
      </c>
      <c r="AZ9">
        <f t="shared" si="14"/>
        <v>3.2399999999999998E-2</v>
      </c>
      <c r="BA9" s="11">
        <f t="shared" si="34"/>
        <v>1.38E-2</v>
      </c>
    </row>
    <row r="10" spans="1:53" x14ac:dyDescent="0.2">
      <c r="A10" t="s">
        <v>4</v>
      </c>
      <c r="B10" s="6">
        <v>0.02</v>
      </c>
      <c r="C10" t="s">
        <v>24</v>
      </c>
      <c r="H10" s="10">
        <f t="shared" si="35"/>
        <v>6</v>
      </c>
      <c r="I10">
        <f t="shared" si="15"/>
        <v>500</v>
      </c>
      <c r="J10">
        <f t="shared" si="16"/>
        <v>0</v>
      </c>
      <c r="K10">
        <f t="shared" si="17"/>
        <v>-250</v>
      </c>
      <c r="L10" s="9">
        <f t="shared" si="0"/>
        <v>0.80880060518654706</v>
      </c>
      <c r="M10" s="11">
        <f t="shared" si="1"/>
        <v>0.88797138218619198</v>
      </c>
      <c r="N10" s="10">
        <f>SUMPRODUCT(I11:I$54, L11:L$54) / L10</f>
        <v>8908.8286422370657</v>
      </c>
      <c r="O10" s="10">
        <f>SUMPRODUCT(J11:J$54, M11:M$54) / M10</f>
        <v>7.2355784099690341E-4</v>
      </c>
      <c r="P10" s="10">
        <f>SUMPRODUCT(K11:K$54, M11:M$54) / M10</f>
        <v>-7269.9907679983799</v>
      </c>
      <c r="Q10" s="10" cm="1">
        <f t="array" ref="Q10">IF($H10 &gt;= $B$12 - 1, 0, SUMPRODUCT(I11:I$54*L11:L$54, $H11:$H$54 - $H10) / L10 /N10) / (1 + $B$10)</f>
        <v>12.32029047236432</v>
      </c>
      <c r="R10" s="10" cm="1">
        <f t="array" ref="R10">SUMPRODUCT(J11:J$54*L11:L$54, $H11:$H$54 - $H10) / L10 /O10 / (1 + $B$10)</f>
        <v>20.192252152115252</v>
      </c>
      <c r="S10" s="10" cm="1">
        <f t="array" ref="S10">SUMPRODUCT(K11:K$54*M11:M$54, $H11:$H$54 - $H10) / M10 /P10 / (1 + $B$10)</f>
        <v>18.967190113423229</v>
      </c>
      <c r="T10" s="10">
        <f t="shared" si="36"/>
        <v>0</v>
      </c>
      <c r="U10" s="10">
        <f t="shared" si="37"/>
        <v>250</v>
      </c>
      <c r="V10" s="10">
        <f t="shared" si="18"/>
        <v>1638.8385977965272</v>
      </c>
      <c r="W10">
        <f t="shared" si="38"/>
        <v>1661.2830806422883</v>
      </c>
      <c r="X10" s="10">
        <f t="shared" si="19"/>
        <v>3300.1216784388153</v>
      </c>
      <c r="Y10" s="10">
        <f t="shared" si="2"/>
        <v>5345.2971853422387</v>
      </c>
      <c r="Z10">
        <f t="shared" si="3"/>
        <v>3563.5314568948265</v>
      </c>
      <c r="AA10" s="10">
        <f t="shared" si="4"/>
        <v>3559.7629180825838</v>
      </c>
      <c r="AB10" s="10">
        <f t="shared" si="5"/>
        <v>1785.5342672596548</v>
      </c>
      <c r="AC10" s="10">
        <f t="shared" si="6"/>
        <v>7.8974391200268049E-4</v>
      </c>
      <c r="AD10" s="10">
        <f t="shared" si="7"/>
        <v>-6.6186071005777084E-5</v>
      </c>
      <c r="AE10">
        <f t="shared" si="20"/>
        <v>-7453.5836226733518</v>
      </c>
      <c r="AF10" s="10">
        <f t="shared" si="8"/>
        <v>183.59285467497193</v>
      </c>
      <c r="AG10" s="10">
        <f t="shared" si="21"/>
        <v>-3893.8199148468561</v>
      </c>
      <c r="AH10" s="10">
        <f t="shared" si="22"/>
        <v>1969.1270557485557</v>
      </c>
      <c r="AI10">
        <f t="shared" si="9"/>
        <v>2037.1121471844542</v>
      </c>
      <c r="AJ10">
        <f t="shared" si="10"/>
        <v>509.27803679611355</v>
      </c>
      <c r="AK10" s="10">
        <f t="shared" si="11"/>
        <v>753.73149445824743</v>
      </c>
      <c r="AL10" s="4">
        <f t="shared" si="23"/>
        <v>0.61728395061728403</v>
      </c>
      <c r="AM10">
        <f t="shared" si="12"/>
        <v>-1526.4193097103723</v>
      </c>
      <c r="AN10" s="10">
        <f t="shared" si="24"/>
        <v>4403.0979516429697</v>
      </c>
      <c r="AO10" s="10">
        <f t="shared" si="24"/>
        <v>-1215.3955612903083</v>
      </c>
      <c r="AP10" s="10">
        <f t="shared" si="25"/>
        <v>3187.7023903526615</v>
      </c>
      <c r="AQ10" s="9">
        <f t="shared" si="26"/>
        <v>1</v>
      </c>
      <c r="AR10" s="9">
        <f t="shared" si="27"/>
        <v>0</v>
      </c>
      <c r="AS10">
        <f t="shared" si="28"/>
        <v>0</v>
      </c>
      <c r="AT10">
        <f t="shared" si="29"/>
        <v>1661.2830806422883</v>
      </c>
      <c r="AU10">
        <f t="shared" si="30"/>
        <v>0</v>
      </c>
      <c r="AV10">
        <f t="shared" si="31"/>
        <v>0</v>
      </c>
      <c r="AW10">
        <f t="shared" si="32"/>
        <v>1</v>
      </c>
      <c r="AX10">
        <f t="shared" si="33"/>
        <v>0</v>
      </c>
      <c r="AY10" s="3">
        <f t="shared" si="13"/>
        <v>0.03</v>
      </c>
      <c r="AZ10">
        <f t="shared" si="14"/>
        <v>3.2399999999999998E-2</v>
      </c>
      <c r="BA10" s="11">
        <f t="shared" si="34"/>
        <v>1.38E-2</v>
      </c>
    </row>
    <row r="11" spans="1:53" x14ac:dyDescent="0.2">
      <c r="A11" t="s">
        <v>20</v>
      </c>
      <c r="B11" s="8">
        <v>0</v>
      </c>
      <c r="H11" s="10">
        <f t="shared" si="35"/>
        <v>7</v>
      </c>
      <c r="I11">
        <f t="shared" si="15"/>
        <v>500</v>
      </c>
      <c r="J11">
        <f t="shared" si="16"/>
        <v>0</v>
      </c>
      <c r="K11">
        <f t="shared" si="17"/>
        <v>-250</v>
      </c>
      <c r="L11" s="9">
        <f t="shared" si="0"/>
        <v>0.7806955648518793</v>
      </c>
      <c r="M11" s="11">
        <f t="shared" si="1"/>
        <v>0.87056017861391388</v>
      </c>
      <c r="N11" s="10">
        <f>SUMPRODUCT(I12:I$54, L12:L$54) / L11</f>
        <v>8729.5464733576009</v>
      </c>
      <c r="O11" s="10">
        <f>SUMPRODUCT(J12:J$54, M12:M$54) / M11</f>
        <v>7.3802899781684125E-4</v>
      </c>
      <c r="P11" s="10">
        <f>SUMPRODUCT(K12:K$54, M12:M$54) / M11</f>
        <v>-7165.3905833583458</v>
      </c>
      <c r="Q11" s="10" cm="1">
        <f t="array" ref="Q11">IF($H11 &gt;= $B$12 - 1, 0, SUMPRODUCT(I12:I$54*L12:L$54, $H12:$H$54 - $H11) / L11 /N11) / (1 + $B$10)</f>
        <v>11.989410770135432</v>
      </c>
      <c r="R11" s="10" cm="1">
        <f t="array" ref="R11">SUMPRODUCT(J12:J$54*L12:L$54, $H12:$H$54 - $H11) / L11 /O11 / (1 + $B$10)</f>
        <v>19.944674289609093</v>
      </c>
      <c r="S11" s="10" cm="1">
        <f t="array" ref="S11">SUMPRODUCT(K12:K$54*M12:M$54, $H12:$H$54 - $H11) / M11 /P11 / (1 + $B$10)</f>
        <v>18.614356138745801</v>
      </c>
      <c r="T11" s="10">
        <f t="shared" si="36"/>
        <v>0</v>
      </c>
      <c r="U11" s="10">
        <f t="shared" si="37"/>
        <v>250</v>
      </c>
      <c r="V11" s="10">
        <f t="shared" si="18"/>
        <v>1564.1566280282523</v>
      </c>
      <c r="W11">
        <f t="shared" si="38"/>
        <v>1934.2087871551519</v>
      </c>
      <c r="X11" s="10">
        <f t="shared" si="19"/>
        <v>3498.3654151834044</v>
      </c>
      <c r="Y11" s="10">
        <f t="shared" si="2"/>
        <v>5237.7278840145609</v>
      </c>
      <c r="Z11">
        <f t="shared" si="3"/>
        <v>3491.8185893430405</v>
      </c>
      <c r="AA11" s="10">
        <f t="shared" si="4"/>
        <v>3394.4470866833972</v>
      </c>
      <c r="AB11" s="10">
        <f t="shared" si="5"/>
        <v>1843.2807973311637</v>
      </c>
      <c r="AC11" s="10">
        <f t="shared" si="6"/>
        <v>7.9566205285100107E-4</v>
      </c>
      <c r="AD11" s="10">
        <f t="shared" si="7"/>
        <v>-5.7633055034159815E-5</v>
      </c>
      <c r="AE11">
        <f t="shared" si="20"/>
        <v>-7209.6828211809616</v>
      </c>
      <c r="AF11" s="10">
        <f t="shared" si="8"/>
        <v>44.292237822615789</v>
      </c>
      <c r="AG11" s="10">
        <f t="shared" si="21"/>
        <v>-3815.2349388355115</v>
      </c>
      <c r="AH11" s="10">
        <f t="shared" si="22"/>
        <v>1887.5729775207244</v>
      </c>
      <c r="AI11">
        <f t="shared" si="9"/>
        <v>2159.4848241872869</v>
      </c>
      <c r="AJ11">
        <f t="shared" si="10"/>
        <v>539.87120604682173</v>
      </c>
      <c r="AK11" s="10">
        <f t="shared" si="11"/>
        <v>799.00938494929574</v>
      </c>
      <c r="AL11" s="4">
        <f t="shared" si="23"/>
        <v>0.61728395061728403</v>
      </c>
      <c r="AM11">
        <f t="shared" si="12"/>
        <v>-1332.3337651557536</v>
      </c>
      <c r="AN11" s="10">
        <f t="shared" si="24"/>
        <v>4355.106144882333</v>
      </c>
      <c r="AO11" s="10">
        <f t="shared" si="24"/>
        <v>-1088.5635925714287</v>
      </c>
      <c r="AP11" s="10">
        <f t="shared" si="25"/>
        <v>3266.5425523109043</v>
      </c>
      <c r="AQ11" s="9">
        <f t="shared" si="26"/>
        <v>1</v>
      </c>
      <c r="AR11" s="9">
        <f t="shared" si="27"/>
        <v>0</v>
      </c>
      <c r="AS11">
        <f t="shared" si="28"/>
        <v>0</v>
      </c>
      <c r="AT11">
        <f t="shared" si="29"/>
        <v>1934.2087871551519</v>
      </c>
      <c r="AU11">
        <f t="shared" si="30"/>
        <v>0</v>
      </c>
      <c r="AV11">
        <f t="shared" si="31"/>
        <v>0</v>
      </c>
      <c r="AW11">
        <f t="shared" si="32"/>
        <v>1</v>
      </c>
      <c r="AX11">
        <f t="shared" si="33"/>
        <v>0</v>
      </c>
      <c r="AY11" s="3">
        <f t="shared" si="13"/>
        <v>0.03</v>
      </c>
      <c r="AZ11">
        <f t="shared" si="14"/>
        <v>3.2399999999999998E-2</v>
      </c>
      <c r="BA11" s="11">
        <f t="shared" si="34"/>
        <v>1.38E-2</v>
      </c>
    </row>
    <row r="12" spans="1:53" x14ac:dyDescent="0.2">
      <c r="A12" t="s">
        <v>21</v>
      </c>
      <c r="B12" s="8">
        <v>36</v>
      </c>
      <c r="H12" s="10">
        <f t="shared" si="35"/>
        <v>8</v>
      </c>
      <c r="I12">
        <f t="shared" si="15"/>
        <v>500</v>
      </c>
      <c r="J12">
        <f t="shared" si="16"/>
        <v>0</v>
      </c>
      <c r="K12">
        <f t="shared" si="17"/>
        <v>-250</v>
      </c>
      <c r="L12" s="9">
        <f t="shared" si="0"/>
        <v>0.75356714754042409</v>
      </c>
      <c r="M12" s="11">
        <f t="shared" si="1"/>
        <v>0.85349037119011162</v>
      </c>
      <c r="N12" s="10">
        <f>SUMPRODUCT(I13:I$54, L13:L$54) / L12</f>
        <v>8543.8101463984731</v>
      </c>
      <c r="O12" s="10">
        <f>SUMPRODUCT(J13:J$54, M13:M$54) / M12</f>
        <v>7.5278957777317817E-4</v>
      </c>
      <c r="P12" s="10">
        <f>SUMPRODUCT(K13:K$54, M13:M$54) / M12</f>
        <v>-7058.6983950255117</v>
      </c>
      <c r="Q12" s="10" cm="1">
        <f t="array" ref="Q12">IF($H12 &gt;= $B$12 - 1, 0, SUMPRODUCT(I13:I$54*L13:L$54, $H13:$H$54 - $H12) / L12 /N12) / (1 + $B$10)</f>
        <v>11.653287295782761</v>
      </c>
      <c r="R12" s="10" cm="1">
        <f t="array" ref="R12">SUMPRODUCT(J13:J$54*L13:L$54, $H13:$H$54 - $H12) / L12 /O12 / (1 + $B$10)</f>
        <v>19.684360788903053</v>
      </c>
      <c r="S12" s="10" cm="1">
        <f t="array" ref="S12">SUMPRODUCT(K13:K$54*M13:M$54, $H13:$H$54 - $H12) / M12 /P12 / (1 + $B$10)</f>
        <v>18.258511277823281</v>
      </c>
      <c r="T12" s="10">
        <f t="shared" si="36"/>
        <v>0</v>
      </c>
      <c r="U12" s="10">
        <f t="shared" si="37"/>
        <v>250</v>
      </c>
      <c r="V12" s="10">
        <f t="shared" si="18"/>
        <v>1485.1125041625392</v>
      </c>
      <c r="W12">
        <f t="shared" si="38"/>
        <v>2210.900868417893</v>
      </c>
      <c r="X12" s="10">
        <f t="shared" si="19"/>
        <v>3696.0133725804321</v>
      </c>
      <c r="Y12" s="10">
        <f t="shared" si="2"/>
        <v>5126.2860878390838</v>
      </c>
      <c r="Z12">
        <f t="shared" si="3"/>
        <v>3417.5240585593892</v>
      </c>
      <c r="AA12" s="10">
        <f t="shared" si="4"/>
        <v>3229.0856509169248</v>
      </c>
      <c r="AB12" s="10">
        <f t="shared" si="5"/>
        <v>1897.200436922159</v>
      </c>
      <c r="AC12" s="10">
        <f t="shared" si="6"/>
        <v>8.0098279173044509E-4</v>
      </c>
      <c r="AD12" s="10">
        <f t="shared" si="7"/>
        <v>-4.819321395726692E-5</v>
      </c>
      <c r="AE12">
        <f t="shared" si="20"/>
        <v>-6966.5580676933196</v>
      </c>
      <c r="AF12" s="10">
        <f t="shared" si="8"/>
        <v>-92.140327332192101</v>
      </c>
      <c r="AG12" s="10">
        <f t="shared" si="21"/>
        <v>-3737.4716157936032</v>
      </c>
      <c r="AH12" s="10">
        <f t="shared" si="22"/>
        <v>1805.0600613967531</v>
      </c>
      <c r="AI12">
        <f t="shared" si="9"/>
        <v>2281.4897361607609</v>
      </c>
      <c r="AJ12">
        <f t="shared" si="10"/>
        <v>570.37243404019023</v>
      </c>
      <c r="AK12" s="10">
        <f t="shared" si="11"/>
        <v>844.15120237948099</v>
      </c>
      <c r="AL12" s="4">
        <f t="shared" si="23"/>
        <v>0.61728395061728392</v>
      </c>
      <c r="AM12">
        <f t="shared" si="12"/>
        <v>-1136.0343223986283</v>
      </c>
      <c r="AN12" s="10">
        <f t="shared" si="24"/>
        <v>4307.8440498337932</v>
      </c>
      <c r="AO12" s="10">
        <f t="shared" si="24"/>
        <v>-960.90885901727211</v>
      </c>
      <c r="AP12" s="10">
        <f t="shared" si="25"/>
        <v>3346.9351908165208</v>
      </c>
      <c r="AQ12" s="9">
        <f t="shared" si="26"/>
        <v>1</v>
      </c>
      <c r="AR12" s="9">
        <f t="shared" si="27"/>
        <v>0</v>
      </c>
      <c r="AS12">
        <f t="shared" si="28"/>
        <v>0</v>
      </c>
      <c r="AT12">
        <f t="shared" si="29"/>
        <v>2210.900868417893</v>
      </c>
      <c r="AU12">
        <f t="shared" si="30"/>
        <v>0</v>
      </c>
      <c r="AV12">
        <f t="shared" si="31"/>
        <v>0</v>
      </c>
      <c r="AW12">
        <f t="shared" si="32"/>
        <v>1</v>
      </c>
      <c r="AX12">
        <f t="shared" si="33"/>
        <v>0</v>
      </c>
      <c r="AY12" s="3">
        <f t="shared" si="13"/>
        <v>0.03</v>
      </c>
      <c r="AZ12">
        <f t="shared" si="14"/>
        <v>3.2399999999999998E-2</v>
      </c>
      <c r="BA12" s="11">
        <f t="shared" si="34"/>
        <v>1.38E-2</v>
      </c>
    </row>
    <row r="13" spans="1:53" x14ac:dyDescent="0.2">
      <c r="H13" s="10">
        <f t="shared" si="35"/>
        <v>9</v>
      </c>
      <c r="I13">
        <f t="shared" si="15"/>
        <v>500</v>
      </c>
      <c r="J13">
        <f t="shared" si="16"/>
        <v>0</v>
      </c>
      <c r="K13">
        <f t="shared" si="17"/>
        <v>-250</v>
      </c>
      <c r="L13" s="9">
        <f t="shared" si="0"/>
        <v>0.72738141654481081</v>
      </c>
      <c r="M13" s="11">
        <f t="shared" si="1"/>
        <v>0.83675526587265847</v>
      </c>
      <c r="N13" s="10">
        <f>SUMPRODUCT(I14:I$54, L14:L$54) / L13</f>
        <v>8351.3873116688192</v>
      </c>
      <c r="O13" s="10">
        <f>SUMPRODUCT(J14:J$54, M14:M$54) / M13</f>
        <v>7.6784536932864164E-4</v>
      </c>
      <c r="P13" s="10">
        <f>SUMPRODUCT(K14:K$54, M14:M$54) / M13</f>
        <v>-6949.8723629260248</v>
      </c>
      <c r="Q13" s="10" cm="1">
        <f t="array" ref="Q13">IF($H13 &gt;= $B$12 - 1, 0, SUMPRODUCT(I14:I$54*L14:L$54, $H14:$H$54 - $H13) / L13 /N13) / (1 + $B$10)</f>
        <v>11.311884491264358</v>
      </c>
      <c r="R13" s="10" cm="1">
        <f t="array" ref="R13">SUMPRODUCT(J14:J$54*L14:L$54, $H14:$H$54 - $H13) / L13 /O13 / (1 + $B$10)</f>
        <v>19.410973019376197</v>
      </c>
      <c r="S13" s="10" cm="1">
        <f t="array" ref="S13">SUMPRODUCT(K14:K$54*M14:M$54, $H14:$H$54 - $H13) / M13 /P13 / (1 + $B$10)</f>
        <v>17.899645611617039</v>
      </c>
      <c r="T13" s="10">
        <f t="shared" si="36"/>
        <v>0</v>
      </c>
      <c r="U13" s="10">
        <f t="shared" si="37"/>
        <v>250</v>
      </c>
      <c r="V13" s="10">
        <f t="shared" si="18"/>
        <v>1401.5157165881637</v>
      </c>
      <c r="W13">
        <f t="shared" si="38"/>
        <v>2491.4113004020601</v>
      </c>
      <c r="X13" s="10">
        <f t="shared" si="19"/>
        <v>3892.9270169902238</v>
      </c>
      <c r="Y13" s="10">
        <f t="shared" si="2"/>
        <v>5010.8323870012919</v>
      </c>
      <c r="Z13">
        <f t="shared" si="3"/>
        <v>3340.5549246675278</v>
      </c>
      <c r="AA13" s="10">
        <f t="shared" si="4"/>
        <v>3063.8895765862203</v>
      </c>
      <c r="AB13" s="10">
        <f t="shared" si="5"/>
        <v>1946.9428104150716</v>
      </c>
      <c r="AC13" s="10">
        <f t="shared" si="6"/>
        <v>8.0565544578871428E-4</v>
      </c>
      <c r="AD13" s="10">
        <f t="shared" si="7"/>
        <v>-3.781007646007264E-5</v>
      </c>
      <c r="AE13">
        <f t="shared" si="20"/>
        <v>-6724.3379644512088</v>
      </c>
      <c r="AF13" s="10">
        <f t="shared" si="8"/>
        <v>-225.53439847481604</v>
      </c>
      <c r="AG13" s="10">
        <f t="shared" si="21"/>
        <v>-3660.4475822095428</v>
      </c>
      <c r="AH13" s="10">
        <f t="shared" si="22"/>
        <v>1721.408374130179</v>
      </c>
      <c r="AI13">
        <f t="shared" si="9"/>
        <v>2403.041368512484</v>
      </c>
      <c r="AJ13">
        <f t="shared" si="10"/>
        <v>600.76034212812101</v>
      </c>
      <c r="AK13" s="10">
        <f t="shared" si="11"/>
        <v>889.12530634961877</v>
      </c>
      <c r="AL13" s="4">
        <f t="shared" si="23"/>
        <v>0.61728395061728403</v>
      </c>
      <c r="AM13">
        <f t="shared" si="12"/>
        <v>-937.51355615504372</v>
      </c>
      <c r="AN13" s="10">
        <f t="shared" si="24"/>
        <v>4261.2079243376638</v>
      </c>
      <c r="AO13" s="10">
        <f t="shared" si="24"/>
        <v>-832.28306778056026</v>
      </c>
      <c r="AP13" s="10">
        <f t="shared" si="25"/>
        <v>3428.9248565571033</v>
      </c>
      <c r="AQ13" s="9">
        <f t="shared" si="26"/>
        <v>1</v>
      </c>
      <c r="AR13" s="9">
        <f t="shared" si="27"/>
        <v>0</v>
      </c>
      <c r="AS13">
        <f t="shared" si="28"/>
        <v>0</v>
      </c>
      <c r="AT13">
        <f t="shared" si="29"/>
        <v>2491.4113004020601</v>
      </c>
      <c r="AU13">
        <f t="shared" si="30"/>
        <v>0</v>
      </c>
      <c r="AV13">
        <f t="shared" si="31"/>
        <v>0</v>
      </c>
      <c r="AW13">
        <f t="shared" si="32"/>
        <v>1</v>
      </c>
      <c r="AX13">
        <f t="shared" si="33"/>
        <v>0</v>
      </c>
      <c r="AY13" s="3">
        <f t="shared" si="13"/>
        <v>0.03</v>
      </c>
      <c r="AZ13">
        <f t="shared" si="14"/>
        <v>3.2399999999999998E-2</v>
      </c>
      <c r="BA13" s="11">
        <f t="shared" si="34"/>
        <v>1.38E-2</v>
      </c>
    </row>
    <row r="14" spans="1:53" x14ac:dyDescent="0.2">
      <c r="A14" s="1" t="s">
        <v>5</v>
      </c>
      <c r="B14" t="s">
        <v>8</v>
      </c>
      <c r="C14" t="s">
        <v>9</v>
      </c>
      <c r="D14" t="s">
        <v>10</v>
      </c>
      <c r="H14" s="10">
        <f t="shared" si="35"/>
        <v>10</v>
      </c>
      <c r="I14">
        <f t="shared" si="15"/>
        <v>500</v>
      </c>
      <c r="J14">
        <f t="shared" si="16"/>
        <v>0</v>
      </c>
      <c r="K14">
        <f t="shared" si="17"/>
        <v>-250</v>
      </c>
      <c r="L14" s="9">
        <f t="shared" si="0"/>
        <v>0.70210561442549313</v>
      </c>
      <c r="M14" s="11">
        <f t="shared" si="1"/>
        <v>0.82034829987515534</v>
      </c>
      <c r="N14" s="10">
        <f>SUMPRODUCT(I15:I$54, L15:L$54) / L14</f>
        <v>8152.0372548888963</v>
      </c>
      <c r="O14" s="10">
        <f>SUMPRODUCT(J15:J$54, M15:M$54) / M14</f>
        <v>7.8320227671521453E-4</v>
      </c>
      <c r="P14" s="10">
        <f>SUMPRODUCT(K15:K$54, M15:M$54) / M14</f>
        <v>-6838.8698101845448</v>
      </c>
      <c r="Q14" s="10" cm="1">
        <f t="array" ref="Q14">IF($H14 &gt;= $B$12 - 1, 0, SUMPRODUCT(I15:I$54*L15:L$54, $H15:$H$54 - $H14) / L14 /N14) / (1 + $B$10)</f>
        <v>10.965167820134065</v>
      </c>
      <c r="R14" s="10" cm="1">
        <f t="array" ref="R14">SUMPRODUCT(J15:J$54*L15:L$54, $H15:$H$54 - $H14) / L14 /O14 / (1 + $B$10)</f>
        <v>19.124164860422841</v>
      </c>
      <c r="S14" s="10" cm="1">
        <f t="array" ref="S14">SUMPRODUCT(K15:K$54*M15:M$54, $H15:$H$54 - $H14) / M14 /P14 / (1 + $B$10)</f>
        <v>17.537749416965692</v>
      </c>
      <c r="T14" s="10">
        <f t="shared" si="36"/>
        <v>0</v>
      </c>
      <c r="U14" s="10">
        <f t="shared" si="37"/>
        <v>250</v>
      </c>
      <c r="V14" s="10">
        <f t="shared" si="18"/>
        <v>1313.1682279066281</v>
      </c>
      <c r="W14">
        <f t="shared" si="38"/>
        <v>2775.7927763476087</v>
      </c>
      <c r="X14" s="10">
        <f t="shared" si="19"/>
        <v>4088.9610042542367</v>
      </c>
      <c r="Y14" s="10">
        <f t="shared" si="2"/>
        <v>4891.2223529333378</v>
      </c>
      <c r="Z14">
        <f t="shared" si="3"/>
        <v>3260.8149019555585</v>
      </c>
      <c r="AA14" s="10">
        <f t="shared" si="4"/>
        <v>2899.0850781354088</v>
      </c>
      <c r="AB14" s="10">
        <f t="shared" si="5"/>
        <v>1992.137274797929</v>
      </c>
      <c r="AC14" s="10">
        <f t="shared" si="6"/>
        <v>8.0962645724109571E-4</v>
      </c>
      <c r="AD14" s="10">
        <f t="shared" si="7"/>
        <v>-2.642418052588118E-5</v>
      </c>
      <c r="AE14">
        <f t="shared" si="20"/>
        <v>-6483.1559473658526</v>
      </c>
      <c r="AF14" s="10">
        <f t="shared" si="8"/>
        <v>-355.71386281869218</v>
      </c>
      <c r="AG14" s="10">
        <f t="shared" si="21"/>
        <v>-3584.0700596039865</v>
      </c>
      <c r="AH14" s="10">
        <f t="shared" si="22"/>
        <v>1636.4233855550563</v>
      </c>
      <c r="AI14">
        <f t="shared" si="9"/>
        <v>2524.0500026260725</v>
      </c>
      <c r="AJ14">
        <f t="shared" si="10"/>
        <v>631.01250065651811</v>
      </c>
      <c r="AK14" s="10">
        <f t="shared" si="11"/>
        <v>933.89850097164617</v>
      </c>
      <c r="AL14" s="4">
        <f t="shared" si="23"/>
        <v>0.61728395061728403</v>
      </c>
      <c r="AM14">
        <f t="shared" si="12"/>
        <v>-736.76489932948607</v>
      </c>
      <c r="AN14" s="10">
        <f t="shared" si="24"/>
        <v>4215.0825602605046</v>
      </c>
      <c r="AO14" s="10">
        <f t="shared" si="24"/>
        <v>-702.52488458341008</v>
      </c>
      <c r="AP14" s="10">
        <f t="shared" si="25"/>
        <v>3512.5576756770943</v>
      </c>
      <c r="AQ14" s="9">
        <f t="shared" si="26"/>
        <v>1</v>
      </c>
      <c r="AR14" s="9">
        <f t="shared" si="27"/>
        <v>0</v>
      </c>
      <c r="AS14">
        <f t="shared" si="28"/>
        <v>0</v>
      </c>
      <c r="AT14">
        <f t="shared" si="29"/>
        <v>2775.7927763476087</v>
      </c>
      <c r="AU14">
        <f t="shared" si="30"/>
        <v>0</v>
      </c>
      <c r="AV14">
        <f t="shared" si="31"/>
        <v>0</v>
      </c>
      <c r="AW14">
        <f t="shared" si="32"/>
        <v>1</v>
      </c>
      <c r="AX14">
        <f t="shared" si="33"/>
        <v>0</v>
      </c>
      <c r="AY14" s="3">
        <f t="shared" si="13"/>
        <v>0.03</v>
      </c>
      <c r="AZ14">
        <f t="shared" si="14"/>
        <v>3.2399999999999998E-2</v>
      </c>
      <c r="BA14" s="11">
        <f t="shared" si="34"/>
        <v>1.38E-2</v>
      </c>
    </row>
    <row r="15" spans="1:53" x14ac:dyDescent="0.2">
      <c r="A15" t="s">
        <v>6</v>
      </c>
      <c r="B15" s="15">
        <v>0.04</v>
      </c>
      <c r="C15" s="6">
        <v>0.18</v>
      </c>
      <c r="D15" s="7">
        <v>0</v>
      </c>
      <c r="H15" s="10">
        <f t="shared" si="35"/>
        <v>11</v>
      </c>
      <c r="I15">
        <f t="shared" si="15"/>
        <v>500</v>
      </c>
      <c r="J15">
        <f t="shared" si="16"/>
        <v>0</v>
      </c>
      <c r="K15">
        <f t="shared" si="17"/>
        <v>-250</v>
      </c>
      <c r="L15" s="9">
        <f t="shared" si="0"/>
        <v>0.67770812203232922</v>
      </c>
      <c r="M15" s="11">
        <f t="shared" si="1"/>
        <v>0.80426303909328967</v>
      </c>
      <c r="N15" s="10">
        <f>SUMPRODUCT(I16:I$54, L16:L$54) / L15</f>
        <v>7945.510596064898</v>
      </c>
      <c r="O15" s="10">
        <f>SUMPRODUCT(J16:J$54, M16:M$54) / M15</f>
        <v>7.988663222495187E-4</v>
      </c>
      <c r="P15" s="10">
        <f>SUMPRODUCT(K16:K$54, M16:M$54) / M15</f>
        <v>-6725.6472063882347</v>
      </c>
      <c r="Q15" s="10" cm="1">
        <f t="array" ref="Q15">IF($H15 &gt;= $B$12 - 1, 0, SUMPRODUCT(I16:I$54*L16:L$54, $H16:$H$54 - $H15) / L15 /N15) / (1 + $B$10)</f>
        <v>10.613103795400201</v>
      </c>
      <c r="R15" s="10" cm="1">
        <f t="array" ref="R15">SUMPRODUCT(J16:J$54*L16:L$54, $H16:$H$54 - $H15) / L15 /O15 / (1 + $B$10)</f>
        <v>18.823582549795919</v>
      </c>
      <c r="S15" s="10" cm="1">
        <f t="array" ref="S15">SUMPRODUCT(K16:K$54*M16:M$54, $H16:$H$54 - $H15) / M15 /P15 / (1 + $B$10)</f>
        <v>17.172813169103659</v>
      </c>
      <c r="T15" s="10">
        <f t="shared" si="36"/>
        <v>0</v>
      </c>
      <c r="U15" s="10">
        <f t="shared" si="37"/>
        <v>250</v>
      </c>
      <c r="V15" s="10">
        <f t="shared" si="18"/>
        <v>1219.8641885429852</v>
      </c>
      <c r="W15">
        <f t="shared" si="38"/>
        <v>3064.0987166612058</v>
      </c>
      <c r="X15" s="10">
        <f t="shared" si="19"/>
        <v>4283.962905204191</v>
      </c>
      <c r="Y15" s="10">
        <f t="shared" si="2"/>
        <v>4767.3063576389386</v>
      </c>
      <c r="Z15">
        <f t="shared" si="3"/>
        <v>3178.2042384259594</v>
      </c>
      <c r="AA15" s="10">
        <f t="shared" si="4"/>
        <v>2734.9144431401801</v>
      </c>
      <c r="AB15" s="10">
        <f t="shared" si="5"/>
        <v>2032.3919144987585</v>
      </c>
      <c r="AC15" s="10">
        <f t="shared" si="6"/>
        <v>8.1283925206030729E-4</v>
      </c>
      <c r="AD15" s="10">
        <f t="shared" si="7"/>
        <v>-1.3972929810788593E-5</v>
      </c>
      <c r="AE15">
        <f t="shared" si="20"/>
        <v>-6243.1504279248174</v>
      </c>
      <c r="AF15" s="10">
        <f t="shared" si="8"/>
        <v>-482.49677846341729</v>
      </c>
      <c r="AG15" s="10">
        <f t="shared" si="21"/>
        <v>-3508.2351719453854</v>
      </c>
      <c r="AH15" s="10">
        <f t="shared" si="22"/>
        <v>1549.8951220624115</v>
      </c>
      <c r="AI15">
        <f t="shared" si="9"/>
        <v>2644.4215464223403</v>
      </c>
      <c r="AJ15">
        <f t="shared" si="10"/>
        <v>661.10538660558507</v>
      </c>
      <c r="AK15" s="10">
        <f t="shared" si="11"/>
        <v>978.43597217626564</v>
      </c>
      <c r="AL15" s="4">
        <f t="shared" si="23"/>
        <v>0.61728395061728403</v>
      </c>
      <c r="AM15">
        <f t="shared" si="12"/>
        <v>-533.7826920036191</v>
      </c>
      <c r="AN15" s="10">
        <f t="shared" si="24"/>
        <v>4169.3405585509709</v>
      </c>
      <c r="AO15" s="10">
        <f t="shared" si="24"/>
        <v>-571.45914988614584</v>
      </c>
      <c r="AP15" s="10">
        <f t="shared" si="25"/>
        <v>3597.8814086648249</v>
      </c>
      <c r="AQ15" s="9">
        <f t="shared" si="26"/>
        <v>1</v>
      </c>
      <c r="AR15" s="9">
        <f t="shared" si="27"/>
        <v>0</v>
      </c>
      <c r="AS15">
        <f t="shared" si="28"/>
        <v>0</v>
      </c>
      <c r="AT15">
        <f t="shared" si="29"/>
        <v>3064.0987166612058</v>
      </c>
      <c r="AU15">
        <f t="shared" si="30"/>
        <v>0</v>
      </c>
      <c r="AV15">
        <f t="shared" si="31"/>
        <v>0</v>
      </c>
      <c r="AW15">
        <f t="shared" si="32"/>
        <v>1</v>
      </c>
      <c r="AX15">
        <f t="shared" si="33"/>
        <v>0</v>
      </c>
      <c r="AY15" s="3">
        <f t="shared" si="13"/>
        <v>0.03</v>
      </c>
      <c r="AZ15">
        <f t="shared" si="14"/>
        <v>3.2399999999999998E-2</v>
      </c>
      <c r="BA15" s="11">
        <f t="shared" si="34"/>
        <v>1.38E-2</v>
      </c>
    </row>
    <row r="16" spans="1:53" x14ac:dyDescent="0.2">
      <c r="A16" t="s">
        <v>7</v>
      </c>
      <c r="B16" s="16">
        <v>0.01</v>
      </c>
      <c r="C16" s="6">
        <v>0.18</v>
      </c>
      <c r="H16" s="10">
        <f t="shared" si="35"/>
        <v>12</v>
      </c>
      <c r="I16">
        <f t="shared" si="15"/>
        <v>500</v>
      </c>
      <c r="J16">
        <f t="shared" si="16"/>
        <v>0</v>
      </c>
      <c r="K16">
        <f t="shared" si="17"/>
        <v>-250</v>
      </c>
      <c r="L16" s="9">
        <f t="shared" si="0"/>
        <v>0.65415841895012472</v>
      </c>
      <c r="M16" s="11">
        <f t="shared" si="1"/>
        <v>0.78849317558165644</v>
      </c>
      <c r="N16" s="10">
        <f>SUMPRODUCT(I17:I$54, L17:L$54) / L16</f>
        <v>7731.5489775232345</v>
      </c>
      <c r="O16" s="10">
        <f>SUMPRODUCT(J17:J$54, M17:M$54) / M16</f>
        <v>8.1484364869450923E-4</v>
      </c>
      <c r="P16" s="10">
        <f>SUMPRODUCT(K17:K$54, M17:M$54) / M16</f>
        <v>-6610.1601505159997</v>
      </c>
      <c r="Q16" s="10" cm="1">
        <f t="array" ref="Q16">IF($H16 &gt;= $B$12 - 1, 0, SUMPRODUCT(I17:I$54*L17:L$54, $H17:$H$54 - $H16) / L16 /N16) / (1 + $B$10)</f>
        <v>10.255660006745506</v>
      </c>
      <c r="R16" s="10" cm="1">
        <f t="array" ref="R16">SUMPRODUCT(J17:J$54*L17:L$54, $H17:$H$54 - $H16) / L16 /O16 / (1 + $B$10)</f>
        <v>18.50886452903525</v>
      </c>
      <c r="S16" s="10" cm="1">
        <f t="array" ref="S16">SUMPRODUCT(K17:K$54*M17:M$54, $H17:$H$54 - $H16) / M16 /P16 / (1 + $B$10)</f>
        <v>16.804827544137765</v>
      </c>
      <c r="T16" s="10">
        <f t="shared" si="36"/>
        <v>0</v>
      </c>
      <c r="U16" s="10">
        <f t="shared" si="37"/>
        <v>250</v>
      </c>
      <c r="V16" s="10">
        <f t="shared" si="18"/>
        <v>1121.3896418508839</v>
      </c>
      <c r="W16">
        <f t="shared" si="38"/>
        <v>3356.3832789511307</v>
      </c>
      <c r="X16" s="10">
        <f t="shared" si="19"/>
        <v>4477.7729208020146</v>
      </c>
      <c r="Y16" s="10">
        <f t="shared" si="2"/>
        <v>4638.9293865139407</v>
      </c>
      <c r="Z16">
        <f t="shared" si="3"/>
        <v>3092.6195910092938</v>
      </c>
      <c r="AA16" s="10">
        <f t="shared" si="4"/>
        <v>2571.6368963993236</v>
      </c>
      <c r="AB16" s="10">
        <f t="shared" si="5"/>
        <v>2067.2924901146171</v>
      </c>
      <c r="AC16" s="10">
        <f t="shared" si="6"/>
        <v>8.1523409221791697E-4</v>
      </c>
      <c r="AD16" s="10">
        <f t="shared" si="7"/>
        <v>-3.9044352340773976E-7</v>
      </c>
      <c r="AE16">
        <f t="shared" si="20"/>
        <v>-6004.4649388407088</v>
      </c>
      <c r="AF16" s="10">
        <f t="shared" si="8"/>
        <v>-605.69521167529092</v>
      </c>
      <c r="AG16" s="10">
        <f t="shared" si="21"/>
        <v>-3432.8272272072927</v>
      </c>
      <c r="AH16" s="10">
        <f t="shared" si="22"/>
        <v>1461.5972780488826</v>
      </c>
      <c r="AI16">
        <f t="shared" si="9"/>
        <v>2764.0573585197626</v>
      </c>
      <c r="AJ16">
        <f t="shared" si="10"/>
        <v>691.01433962994065</v>
      </c>
      <c r="AK16" s="10">
        <f t="shared" si="11"/>
        <v>1022.7012226523113</v>
      </c>
      <c r="AL16" s="4">
        <f t="shared" si="23"/>
        <v>0.61728395061728403</v>
      </c>
      <c r="AM16">
        <f t="shared" si="12"/>
        <v>-328.5622324895312</v>
      </c>
      <c r="AN16" s="10">
        <f t="shared" si="24"/>
        <v>4123.8415668372336</v>
      </c>
      <c r="AO16" s="10">
        <f t="shared" si="24"/>
        <v>-438.89605539657123</v>
      </c>
      <c r="AP16" s="10">
        <f t="shared" si="25"/>
        <v>3684.9455114406624</v>
      </c>
      <c r="AQ16" s="9">
        <f t="shared" si="26"/>
        <v>1</v>
      </c>
      <c r="AR16" s="9">
        <f t="shared" si="27"/>
        <v>0</v>
      </c>
      <c r="AS16">
        <f t="shared" si="28"/>
        <v>0</v>
      </c>
      <c r="AT16">
        <f t="shared" si="29"/>
        <v>3356.3832789511307</v>
      </c>
      <c r="AU16">
        <f t="shared" si="30"/>
        <v>0</v>
      </c>
      <c r="AV16">
        <f t="shared" si="31"/>
        <v>0</v>
      </c>
      <c r="AW16">
        <f t="shared" si="32"/>
        <v>1</v>
      </c>
      <c r="AX16">
        <f t="shared" si="33"/>
        <v>0</v>
      </c>
      <c r="AY16" s="3">
        <f t="shared" si="13"/>
        <v>0.03</v>
      </c>
      <c r="AZ16">
        <f t="shared" si="14"/>
        <v>3.2399999999999998E-2</v>
      </c>
      <c r="BA16" s="11">
        <f t="shared" si="34"/>
        <v>1.38E-2</v>
      </c>
    </row>
    <row r="17" spans="1:53" x14ac:dyDescent="0.2">
      <c r="A17" t="s">
        <v>40</v>
      </c>
      <c r="B17" s="7">
        <v>18.5</v>
      </c>
      <c r="H17" s="10">
        <f t="shared" si="35"/>
        <v>13</v>
      </c>
      <c r="I17">
        <f t="shared" si="15"/>
        <v>500</v>
      </c>
      <c r="J17">
        <f t="shared" si="16"/>
        <v>0</v>
      </c>
      <c r="K17">
        <f t="shared" si="17"/>
        <v>-250</v>
      </c>
      <c r="L17" s="9">
        <f t="shared" si="0"/>
        <v>0.63142704531865312</v>
      </c>
      <c r="M17" s="11">
        <f t="shared" si="1"/>
        <v>0.77303252508005538</v>
      </c>
      <c r="N17" s="10">
        <f>SUMPRODUCT(I18:I$54, L18:L$54) / L17</f>
        <v>7509.884740714072</v>
      </c>
      <c r="O17" s="10">
        <f>SUMPRODUCT(J18:J$54, M18:M$54) / M17</f>
        <v>8.311405216683993E-4</v>
      </c>
      <c r="P17" s="10">
        <f>SUMPRODUCT(K18:K$54, M18:M$54) / M17</f>
        <v>-6492.3633535263216</v>
      </c>
      <c r="Q17" s="10" cm="1">
        <f t="array" ref="Q17">IF($H17 &gt;= $B$12 - 1, 0, SUMPRODUCT(I18:I$54*L18:L$54, $H18:$H$54 - $H17) / L17 /N17) / (1 + $B$10)</f>
        <v>9.8928051470664204</v>
      </c>
      <c r="R17" s="10" cm="1">
        <f t="array" ref="R17">SUMPRODUCT(J18:J$54*L18:L$54, $H18:$H$54 - $H17) / L17 /O17 / (1 + $B$10)</f>
        <v>18.179641285927058</v>
      </c>
      <c r="S17" s="10" cm="1">
        <f t="array" ref="S17">SUMPRODUCT(K18:K$54*M18:M$54, $H18:$H$54 - $H17) / M17 /P17 / (1 + $B$10)</f>
        <v>16.433783421480456</v>
      </c>
      <c r="T17" s="10">
        <f t="shared" si="36"/>
        <v>0</v>
      </c>
      <c r="U17" s="10">
        <f t="shared" si="37"/>
        <v>250</v>
      </c>
      <c r="V17" s="10">
        <f t="shared" si="18"/>
        <v>1017.5222183282722</v>
      </c>
      <c r="W17">
        <f t="shared" si="38"/>
        <v>3652.7013682006564</v>
      </c>
      <c r="X17" s="10">
        <f t="shared" si="19"/>
        <v>4670.2235865289285</v>
      </c>
      <c r="Y17" s="10">
        <f t="shared" si="2"/>
        <v>4505.9308444284434</v>
      </c>
      <c r="Z17">
        <f t="shared" si="3"/>
        <v>3003.9538962856291</v>
      </c>
      <c r="AA17" s="10">
        <f t="shared" si="4"/>
        <v>2409.5295054101107</v>
      </c>
      <c r="AB17" s="10">
        <f t="shared" si="5"/>
        <v>2096.4013390183327</v>
      </c>
      <c r="AC17" s="10">
        <f t="shared" si="6"/>
        <v>8.1674792119620454E-4</v>
      </c>
      <c r="AD17" s="10">
        <f t="shared" si="7"/>
        <v>1.4392600472194761E-5</v>
      </c>
      <c r="AE17">
        <f t="shared" si="20"/>
        <v>-5767.248283535574</v>
      </c>
      <c r="AF17" s="10">
        <f t="shared" si="8"/>
        <v>-725.11506999074754</v>
      </c>
      <c r="AG17" s="10">
        <f t="shared" si="21"/>
        <v>-3357.717961377542</v>
      </c>
      <c r="AH17" s="10">
        <f t="shared" si="22"/>
        <v>1371.2862834201856</v>
      </c>
      <c r="AI17">
        <f t="shared" si="9"/>
        <v>2882.8540657585982</v>
      </c>
      <c r="AJ17">
        <f t="shared" si="10"/>
        <v>720.71351643964954</v>
      </c>
      <c r="AK17" s="10">
        <f t="shared" si="11"/>
        <v>1066.6560043306808</v>
      </c>
      <c r="AL17" s="4">
        <f t="shared" si="23"/>
        <v>0.61728395061728403</v>
      </c>
      <c r="AM17">
        <f t="shared" si="12"/>
        <v>-121.09983052703092</v>
      </c>
      <c r="AN17" s="10">
        <f t="shared" si="24"/>
        <v>4078.4314778171915</v>
      </c>
      <c r="AO17" s="10">
        <f t="shared" si="24"/>
        <v>-304.63027908950471</v>
      </c>
      <c r="AP17" s="10">
        <f t="shared" si="25"/>
        <v>3773.8011987276868</v>
      </c>
      <c r="AQ17" s="9">
        <f t="shared" si="26"/>
        <v>1</v>
      </c>
      <c r="AR17" s="9">
        <f t="shared" si="27"/>
        <v>0</v>
      </c>
      <c r="AS17">
        <f t="shared" si="28"/>
        <v>0</v>
      </c>
      <c r="AT17">
        <f t="shared" si="29"/>
        <v>3652.7013682006564</v>
      </c>
      <c r="AU17">
        <f t="shared" si="30"/>
        <v>0</v>
      </c>
      <c r="AV17">
        <f t="shared" si="31"/>
        <v>0</v>
      </c>
      <c r="AW17">
        <f t="shared" si="32"/>
        <v>1</v>
      </c>
      <c r="AX17">
        <f t="shared" si="33"/>
        <v>0</v>
      </c>
      <c r="AY17" s="3">
        <f t="shared" si="13"/>
        <v>0.03</v>
      </c>
      <c r="AZ17">
        <f t="shared" si="14"/>
        <v>3.2399999999999998E-2</v>
      </c>
      <c r="BA17" s="11">
        <f t="shared" si="34"/>
        <v>1.38E-2</v>
      </c>
    </row>
    <row r="18" spans="1:53" x14ac:dyDescent="0.2">
      <c r="H18" s="10">
        <f t="shared" si="35"/>
        <v>14</v>
      </c>
      <c r="I18">
        <f t="shared" si="15"/>
        <v>500</v>
      </c>
      <c r="J18">
        <f t="shared" si="16"/>
        <v>0</v>
      </c>
      <c r="K18">
        <f t="shared" si="17"/>
        <v>-250</v>
      </c>
      <c r="L18" s="9">
        <f t="shared" si="0"/>
        <v>0.60948556497939499</v>
      </c>
      <c r="M18" s="11">
        <f t="shared" si="1"/>
        <v>0.75787502458828948</v>
      </c>
      <c r="N18" s="10">
        <f>SUMPRODUCT(I19:I$54, L19:L$54) / L18</f>
        <v>7280.2405913797784</v>
      </c>
      <c r="O18" s="10">
        <f>SUMPRODUCT(J19:J$54, M19:M$54) / M18</f>
        <v>8.4776333210176739E-4</v>
      </c>
      <c r="P18" s="10">
        <f>SUMPRODUCT(K19:K$54, M19:M$54) / M18</f>
        <v>-6372.2106205968485</v>
      </c>
      <c r="Q18" s="10" cm="1">
        <f t="array" ref="Q18">IF($H18 &gt;= $B$12 - 1, 0, SUMPRODUCT(I19:I$54*L19:L$54, $H19:$H$54 - $H18) / L18 /N18) / (1 + $B$10)</f>
        <v>9.5245090382900859</v>
      </c>
      <c r="R18" s="10" cm="1">
        <f t="array" ref="R18">SUMPRODUCT(J19:J$54*L19:L$54, $H19:$H$54 - $H18) / L18 /O18 / (1 + $B$10)</f>
        <v>17.835535193939116</v>
      </c>
      <c r="S18" s="10" cm="1">
        <f t="array" ref="S18">SUMPRODUCT(K19:K$54*M19:M$54, $H19:$H$54 - $H18) / M18 /P18 / (1 + $B$10)</f>
        <v>16.059671886238558</v>
      </c>
      <c r="T18" s="10">
        <f t="shared" si="36"/>
        <v>0</v>
      </c>
      <c r="U18" s="10">
        <f t="shared" si="37"/>
        <v>250</v>
      </c>
      <c r="V18" s="10">
        <f t="shared" si="18"/>
        <v>908.0308185462618</v>
      </c>
      <c r="W18">
        <f t="shared" si="38"/>
        <v>3953.1086470818254</v>
      </c>
      <c r="X18" s="10">
        <f t="shared" si="19"/>
        <v>4861.1394656280872</v>
      </c>
      <c r="Y18" s="10">
        <f t="shared" si="2"/>
        <v>4368.1443548278667</v>
      </c>
      <c r="Z18">
        <f t="shared" si="3"/>
        <v>2912.0962365519117</v>
      </c>
      <c r="AA18" s="10">
        <f t="shared" si="4"/>
        <v>2248.8881290872341</v>
      </c>
      <c r="AB18" s="10">
        <f t="shared" si="5"/>
        <v>2119.2562257406325</v>
      </c>
      <c r="AC18" s="10">
        <f t="shared" si="6"/>
        <v>8.1731420247741437E-4</v>
      </c>
      <c r="AD18" s="10">
        <f t="shared" si="7"/>
        <v>3.0449129624353019E-5</v>
      </c>
      <c r="AE18">
        <f t="shared" si="20"/>
        <v>-5531.6546895562142</v>
      </c>
      <c r="AF18" s="10">
        <f t="shared" si="8"/>
        <v>-840.55593104063428</v>
      </c>
      <c r="AG18" s="10">
        <f t="shared" si="21"/>
        <v>-3282.7657431547777</v>
      </c>
      <c r="AH18" s="10">
        <f t="shared" si="22"/>
        <v>1278.7003251491278</v>
      </c>
      <c r="AI18">
        <f t="shared" si="9"/>
        <v>3000.7033738444989</v>
      </c>
      <c r="AJ18">
        <f t="shared" si="10"/>
        <v>750.17584346112471</v>
      </c>
      <c r="AK18" s="10">
        <f t="shared" si="11"/>
        <v>1110.2602483224637</v>
      </c>
      <c r="AL18" s="4">
        <f t="shared" si="23"/>
        <v>0.61728395061728403</v>
      </c>
      <c r="AM18">
        <f t="shared" si="12"/>
        <v>88.60713729258714</v>
      </c>
      <c r="AN18" s="10">
        <f t="shared" si="24"/>
        <v>4032.9415866159025</v>
      </c>
      <c r="AO18" s="10">
        <f t="shared" si="24"/>
        <v>-168.44007682666415</v>
      </c>
      <c r="AP18" s="10">
        <f t="shared" si="25"/>
        <v>3864.5015097892383</v>
      </c>
      <c r="AQ18" s="9">
        <f t="shared" si="26"/>
        <v>1</v>
      </c>
      <c r="AR18" s="9">
        <f t="shared" si="27"/>
        <v>0</v>
      </c>
      <c r="AS18">
        <f>MAX(MIN($W18,AM18), 0)</f>
        <v>88.60713729258714</v>
      </c>
      <c r="AT18">
        <f>MIN(IF(AP18 &lt; 0, 0, AQ18 * AP18),W18)</f>
        <v>3864.5015097892383</v>
      </c>
      <c r="AU18">
        <f>W18-AS18-AT18</f>
        <v>0</v>
      </c>
      <c r="AV18">
        <f t="shared" si="31"/>
        <v>2.2414546424874181E-2</v>
      </c>
      <c r="AW18">
        <f t="shared" si="32"/>
        <v>0.97758545357512583</v>
      </c>
      <c r="AX18">
        <f t="shared" si="33"/>
        <v>0</v>
      </c>
      <c r="AY18" s="3">
        <f t="shared" si="13"/>
        <v>3.0672436392746225E-2</v>
      </c>
      <c r="AZ18">
        <f t="shared" si="14"/>
        <v>3.0980093682232999E-2</v>
      </c>
      <c r="BA18" s="11">
        <f t="shared" si="34"/>
        <v>1.5182389551629726E-2</v>
      </c>
    </row>
    <row r="19" spans="1:53" x14ac:dyDescent="0.2">
      <c r="H19" s="10">
        <f t="shared" si="35"/>
        <v>15</v>
      </c>
      <c r="I19">
        <f t="shared" si="15"/>
        <v>500</v>
      </c>
      <c r="J19">
        <f t="shared" si="16"/>
        <v>0</v>
      </c>
      <c r="K19">
        <f t="shared" si="17"/>
        <v>-250</v>
      </c>
      <c r="L19" s="9">
        <f t="shared" si="0"/>
        <v>0.5883065299028909</v>
      </c>
      <c r="M19" s="11">
        <f t="shared" si="1"/>
        <v>0.74301472998851925</v>
      </c>
      <c r="N19" s="10">
        <f>SUMPRODUCT(I20:I$54, L20:L$54) / L19</f>
        <v>7042.3292526694504</v>
      </c>
      <c r="O19" s="10">
        <f>SUMPRODUCT(J20:J$54, M20:M$54) / M19</f>
        <v>8.6471859874380258E-4</v>
      </c>
      <c r="P19" s="10">
        <f>SUMPRODUCT(K20:K$54, M20:M$54) / M19</f>
        <v>-6249.6548330087844</v>
      </c>
      <c r="Q19" s="10" cm="1">
        <f t="array" ref="Q19">IF($H19 &gt;= $B$12 - 1, 0, SUMPRODUCT(I20:I$54*L20:L$54, $H20:$H$54 - $H19) / L19 /N19) / (1 + $B$10)</f>
        <v>9.1507426564284611</v>
      </c>
      <c r="R19" s="10" cm="1">
        <f t="array" ref="R19">SUMPRODUCT(J20:J$54*L20:L$54, $H20:$H$54 - $H19) / L19 /O19 / (1 + $B$10)</f>
        <v>17.476160348575863</v>
      </c>
      <c r="S19" s="10" cm="1">
        <f t="array" ref="S19">SUMPRODUCT(K20:K$54*M20:M$54, $H20:$H$54 - $H19) / M19 /P19 / (1 + $B$10)</f>
        <v>15.68248423155614</v>
      </c>
      <c r="T19" s="10">
        <f t="shared" si="36"/>
        <v>0</v>
      </c>
      <c r="U19" s="10">
        <f t="shared" si="37"/>
        <v>250</v>
      </c>
      <c r="V19" s="10">
        <f t="shared" si="18"/>
        <v>792.67528437926467</v>
      </c>
      <c r="W19">
        <f t="shared" si="38"/>
        <v>4263.1262825017375</v>
      </c>
      <c r="X19" s="10">
        <f t="shared" si="19"/>
        <v>5055.8015668810021</v>
      </c>
      <c r="Y19" s="10">
        <f t="shared" si="2"/>
        <v>4225.3975516016699</v>
      </c>
      <c r="Z19">
        <f t="shared" si="3"/>
        <v>2816.9317010677805</v>
      </c>
      <c r="AA19" s="10">
        <f t="shared" si="4"/>
        <v>2090.0284116653934</v>
      </c>
      <c r="AB19" s="10">
        <f t="shared" si="5"/>
        <v>2135.3691399362765</v>
      </c>
      <c r="AC19" s="10">
        <f t="shared" si="6"/>
        <v>8.1686275070500132E-4</v>
      </c>
      <c r="AD19" s="10">
        <f t="shared" si="7"/>
        <v>4.7855848038801259E-5</v>
      </c>
      <c r="AE19">
        <f t="shared" si="20"/>
        <v>-5297.8439660177773</v>
      </c>
      <c r="AF19" s="10">
        <f t="shared" si="8"/>
        <v>-951.81086699100706</v>
      </c>
      <c r="AG19" s="10">
        <f t="shared" si="21"/>
        <v>-3207.8147374896334</v>
      </c>
      <c r="AH19" s="10">
        <f t="shared" si="22"/>
        <v>1183.5583208011176</v>
      </c>
      <c r="AI19">
        <f t="shared" si="9"/>
        <v>3120.8651647413599</v>
      </c>
      <c r="AJ19">
        <f t="shared" si="10"/>
        <v>780.21629118533997</v>
      </c>
      <c r="AK19" s="10">
        <f t="shared" si="11"/>
        <v>1154.7201109543023</v>
      </c>
      <c r="AL19" s="4">
        <f t="shared" si="23"/>
        <v>0.61728395061728403</v>
      </c>
      <c r="AM19">
        <f t="shared" si="12"/>
        <v>303.93346367357935</v>
      </c>
      <c r="AN19" s="10">
        <f t="shared" si="24"/>
        <v>3988.0310286749736</v>
      </c>
      <c r="AO19" s="10">
        <f t="shared" si="24"/>
        <v>-28.838209846815289</v>
      </c>
      <c r="AP19" s="10">
        <f t="shared" si="25"/>
        <v>3959.1928188281581</v>
      </c>
      <c r="AQ19" s="9">
        <f t="shared" si="26"/>
        <v>1</v>
      </c>
      <c r="AR19" s="9">
        <f t="shared" si="27"/>
        <v>0</v>
      </c>
      <c r="AS19">
        <f t="shared" ref="AS19:AS54" si="39">MAX(MIN($W19,AM19), 0)</f>
        <v>303.93346367357935</v>
      </c>
      <c r="AT19">
        <f t="shared" ref="AT19:AT54" si="40">MIN(IF(AP19 &lt; 0, 0, AQ19 * AP19),W19)</f>
        <v>3959.1928188281581</v>
      </c>
      <c r="AU19">
        <f t="shared" ref="AU19:AU54" si="41">W19-AS19-AT19</f>
        <v>0</v>
      </c>
      <c r="AV19">
        <f t="shared" si="31"/>
        <v>7.1293563346010377E-2</v>
      </c>
      <c r="AW19">
        <f t="shared" si="32"/>
        <v>0.92870643665398966</v>
      </c>
      <c r="AX19">
        <f t="shared" si="33"/>
        <v>0</v>
      </c>
      <c r="AY19" s="3">
        <f t="shared" si="13"/>
        <v>3.2138806900380311E-2</v>
      </c>
      <c r="AZ19">
        <f t="shared" si="14"/>
        <v>2.8109540732090765E-2</v>
      </c>
      <c r="BA19" s="11">
        <f t="shared" si="34"/>
        <v>1.8084036534334928E-2</v>
      </c>
    </row>
    <row r="20" spans="1:53" x14ac:dyDescent="0.2">
      <c r="A20" s="1" t="s">
        <v>11</v>
      </c>
      <c r="H20" s="10">
        <f t="shared" si="35"/>
        <v>16</v>
      </c>
      <c r="I20">
        <f t="shared" si="15"/>
        <v>500</v>
      </c>
      <c r="J20">
        <f t="shared" si="16"/>
        <v>0</v>
      </c>
      <c r="K20">
        <f t="shared" si="17"/>
        <v>-250</v>
      </c>
      <c r="L20" s="9">
        <f t="shared" si="0"/>
        <v>0.56786344585221127</v>
      </c>
      <c r="M20" s="11">
        <f t="shared" si="1"/>
        <v>0.72844581371423445</v>
      </c>
      <c r="N20" s="10">
        <f>SUMPRODUCT(I21:I$54, L21:L$54) / L20</f>
        <v>6795.8531057655509</v>
      </c>
      <c r="O20" s="10">
        <f>SUMPRODUCT(J21:J$54, M21:M$54) / M20</f>
        <v>8.8201297071867878E-4</v>
      </c>
      <c r="P20" s="10">
        <f>SUMPRODUCT(K21:K$54, M21:M$54) / M20</f>
        <v>-6124.6479296689595</v>
      </c>
      <c r="Q20" s="10" cm="1">
        <f t="array" ref="Q20">IF($H20 &gt;= $B$12 - 1, 0, SUMPRODUCT(I21:I$54*L21:L$54, $H21:$H$54 - $H20) / L20 /N20) / (1 + $B$10)</f>
        <v>8.7714781558296533</v>
      </c>
      <c r="R20" s="10" cm="1">
        <f t="array" ref="R20">SUMPRODUCT(J21:J$54*L21:L$54, $H21:$H$54 - $H20) / L20 /O20 / (1 + $B$10)</f>
        <v>17.101122400596005</v>
      </c>
      <c r="S20" s="10" cm="1">
        <f t="array" ref="S20">SUMPRODUCT(K21:K$54*M21:M$54, $H21:$H$54 - $H20) / M20 /P20 / (1 + $B$10)</f>
        <v>15.302211960910606</v>
      </c>
      <c r="T20" s="10">
        <f t="shared" si="36"/>
        <v>0</v>
      </c>
      <c r="U20" s="10">
        <f t="shared" si="37"/>
        <v>250</v>
      </c>
      <c r="V20" s="10">
        <f t="shared" si="18"/>
        <v>671.20605810956204</v>
      </c>
      <c r="W20">
        <f t="shared" si="38"/>
        <v>4590.2208139449822</v>
      </c>
      <c r="X20" s="10">
        <f t="shared" si="19"/>
        <v>5261.4268720545442</v>
      </c>
      <c r="Y20" s="10">
        <f t="shared" si="2"/>
        <v>4077.5118634593305</v>
      </c>
      <c r="Z20">
        <f t="shared" si="3"/>
        <v>2718.3412423062205</v>
      </c>
      <c r="AA20" s="10">
        <f t="shared" si="4"/>
        <v>1933.2868238091773</v>
      </c>
      <c r="AB20" s="10">
        <f t="shared" si="5"/>
        <v>2144.2250396501531</v>
      </c>
      <c r="AC20" s="10">
        <f t="shared" si="6"/>
        <v>8.1531955519856345E-4</v>
      </c>
      <c r="AD20" s="10">
        <f t="shared" si="7"/>
        <v>6.6693415520115325E-5</v>
      </c>
      <c r="AE20">
        <f t="shared" si="20"/>
        <v>-5065.9816651754991</v>
      </c>
      <c r="AF20" s="10">
        <f t="shared" si="8"/>
        <v>-1058.6662644934604</v>
      </c>
      <c r="AG20" s="10">
        <f t="shared" si="21"/>
        <v>-3132.6940260467663</v>
      </c>
      <c r="AH20" s="10">
        <f t="shared" si="22"/>
        <v>1085.5588418501081</v>
      </c>
      <c r="AI20">
        <f t="shared" si="9"/>
        <v>3247.7943654657684</v>
      </c>
      <c r="AJ20">
        <f t="shared" si="10"/>
        <v>811.94859136644209</v>
      </c>
      <c r="AK20" s="10">
        <f t="shared" si="11"/>
        <v>1201.6839152223338</v>
      </c>
      <c r="AL20" s="4">
        <f t="shared" si="23"/>
        <v>0.61728395061728403</v>
      </c>
      <c r="AM20">
        <f t="shared" si="12"/>
        <v>529.45312315954789</v>
      </c>
      <c r="AN20" s="10">
        <f t="shared" si="24"/>
        <v>3944.6426174132084</v>
      </c>
      <c r="AO20" s="10">
        <f t="shared" si="24"/>
        <v>116.12507337222564</v>
      </c>
      <c r="AP20" s="10">
        <f t="shared" si="25"/>
        <v>4060.7676907854338</v>
      </c>
      <c r="AQ20" s="9">
        <f t="shared" si="26"/>
        <v>0.97140317245043772</v>
      </c>
      <c r="AR20" s="9">
        <f t="shared" si="27"/>
        <v>2.8596827549562366E-2</v>
      </c>
      <c r="AS20">
        <f t="shared" si="39"/>
        <v>529.45312315954789</v>
      </c>
      <c r="AT20">
        <f t="shared" si="40"/>
        <v>3944.6426174132084</v>
      </c>
      <c r="AU20">
        <f t="shared" si="41"/>
        <v>116.12507337222587</v>
      </c>
      <c r="AV20">
        <f t="shared" si="31"/>
        <v>0.11534371539405723</v>
      </c>
      <c r="AW20">
        <f t="shared" si="32"/>
        <v>0.85935792139442979</v>
      </c>
      <c r="AX20">
        <f t="shared" si="33"/>
        <v>2.5298363211512749E-2</v>
      </c>
      <c r="AY20" s="3">
        <f t="shared" si="13"/>
        <v>3.320732782970659E-2</v>
      </c>
      <c r="AZ20">
        <f t="shared" si="14"/>
        <v>2.4358326795714032E-2</v>
      </c>
      <c r="BA20" s="11">
        <f t="shared" si="34"/>
        <v>2.1028164431849572E-2</v>
      </c>
    </row>
    <row r="21" spans="1:53" x14ac:dyDescent="0.2">
      <c r="A21" t="s">
        <v>12</v>
      </c>
      <c r="B21" s="5">
        <f>B10 + B9 * B15</f>
        <v>3.6000000000000004E-2</v>
      </c>
      <c r="H21" s="10">
        <f t="shared" si="35"/>
        <v>17</v>
      </c>
      <c r="I21">
        <f t="shared" si="15"/>
        <v>500</v>
      </c>
      <c r="J21">
        <f t="shared" si="16"/>
        <v>0</v>
      </c>
      <c r="K21">
        <f t="shared" si="17"/>
        <v>-250</v>
      </c>
      <c r="L21" s="9">
        <f t="shared" si="0"/>
        <v>0.54813073923958611</v>
      </c>
      <c r="M21" s="11">
        <f t="shared" si="1"/>
        <v>0.7141625624649357</v>
      </c>
      <c r="N21" s="10">
        <f>SUMPRODUCT(I22:I$54, L22:L$54) / L21</f>
        <v>6540.5038175731124</v>
      </c>
      <c r="O21" s="10">
        <f>SUMPRODUCT(J22:J$54, M22:M$54) / M21</f>
        <v>8.9965323013305241E-4</v>
      </c>
      <c r="P21" s="10">
        <f>SUMPRODUCT(K22:K$54, M22:M$54) / M21</f>
        <v>-5997.1408882623391</v>
      </c>
      <c r="Q21" s="10" cm="1">
        <f t="array" ref="Q21">IF($H21 &gt;= $B$12 - 1, 0, SUMPRODUCT(I22:I$54*L22:L$54, $H22:$H$54 - $H21) / L21 /N21) / (1 + $B$10)</f>
        <v>8.3866888925875571</v>
      </c>
      <c r="R21" s="10" cm="1">
        <f t="array" ref="R21">SUMPRODUCT(J22:J$54*L22:L$54, $H22:$H$54 - $H21) / L21 /O21 / (1 + $B$10)</f>
        <v>16.710018386034744</v>
      </c>
      <c r="S21" s="10" cm="1">
        <f t="array" ref="S21">SUMPRODUCT(K22:K$54*M22:M$54, $H22:$H$54 - $H21) / M21 /P21 / (1 + $B$10)</f>
        <v>14.918846790360567</v>
      </c>
      <c r="T21" s="10">
        <f t="shared" si="36"/>
        <v>0</v>
      </c>
      <c r="U21" s="10">
        <f t="shared" si="37"/>
        <v>250</v>
      </c>
      <c r="V21" s="10">
        <f t="shared" si="18"/>
        <v>543.36382896400301</v>
      </c>
      <c r="W21">
        <f t="shared" si="38"/>
        <v>4936.7447319991152</v>
      </c>
      <c r="X21" s="10">
        <f t="shared" si="19"/>
        <v>5480.1085609631182</v>
      </c>
      <c r="Y21" s="10">
        <f t="shared" si="2"/>
        <v>3924.3022905438675</v>
      </c>
      <c r="Z21">
        <f t="shared" si="3"/>
        <v>2616.201527029245</v>
      </c>
      <c r="AA21" s="10">
        <f t="shared" si="4"/>
        <v>1779.0217530410898</v>
      </c>
      <c r="AB21" s="10">
        <f t="shared" si="5"/>
        <v>2145.2805375027774</v>
      </c>
      <c r="AC21" s="10">
        <f t="shared" si="6"/>
        <v>8.1260659549074873E-4</v>
      </c>
      <c r="AD21" s="10">
        <f t="shared" si="7"/>
        <v>8.7046634642303682E-5</v>
      </c>
      <c r="AE21">
        <f t="shared" si="20"/>
        <v>-4836.2392482266332</v>
      </c>
      <c r="AF21" s="10">
        <f t="shared" si="8"/>
        <v>-1160.9016400357059</v>
      </c>
      <c r="AG21" s="10">
        <f t="shared" si="21"/>
        <v>-3057.2166825789482</v>
      </c>
      <c r="AH21" s="10">
        <f t="shared" si="22"/>
        <v>984.3789845137062</v>
      </c>
      <c r="AI21">
        <f t="shared" si="9"/>
        <v>3382.7830623229129</v>
      </c>
      <c r="AJ21">
        <f t="shared" si="10"/>
        <v>845.69576558072822</v>
      </c>
      <c r="AK21" s="10">
        <f t="shared" si="11"/>
        <v>1251.6297330594771</v>
      </c>
      <c r="AL21" s="4">
        <f t="shared" si="23"/>
        <v>0.61728395061728403</v>
      </c>
      <c r="AM21">
        <f t="shared" si="12"/>
        <v>766.58153529366791</v>
      </c>
      <c r="AN21" s="10">
        <f t="shared" si="24"/>
        <v>3902.9124481596764</v>
      </c>
      <c r="AO21" s="10">
        <f t="shared" si="24"/>
        <v>267.25074854577088</v>
      </c>
      <c r="AP21" s="10">
        <f t="shared" si="25"/>
        <v>4170.1631967054473</v>
      </c>
      <c r="AQ21" s="9">
        <f t="shared" si="26"/>
        <v>0.93591359955483111</v>
      </c>
      <c r="AR21" s="9">
        <f t="shared" si="27"/>
        <v>6.408640044516889E-2</v>
      </c>
      <c r="AS21">
        <f t="shared" si="39"/>
        <v>766.58153529366791</v>
      </c>
      <c r="AT21">
        <f t="shared" si="40"/>
        <v>3902.9124481596764</v>
      </c>
      <c r="AU21">
        <f t="shared" si="41"/>
        <v>267.25074854577088</v>
      </c>
      <c r="AV21">
        <f t="shared" si="31"/>
        <v>0.15528077243387137</v>
      </c>
      <c r="AW21">
        <f t="shared" si="32"/>
        <v>0.79058421288459202</v>
      </c>
      <c r="AX21">
        <f t="shared" si="33"/>
        <v>5.4135014681536663E-2</v>
      </c>
      <c r="AY21" s="3">
        <f t="shared" si="13"/>
        <v>3.4117073026200775E-2</v>
      </c>
      <c r="AZ21">
        <f t="shared" si="14"/>
        <v>2.1031990716780313E-2</v>
      </c>
      <c r="BA21" s="11">
        <f t="shared" si="34"/>
        <v>2.3601077667810617E-2</v>
      </c>
    </row>
    <row r="22" spans="1:53" x14ac:dyDescent="0.2">
      <c r="A22" t="s">
        <v>13</v>
      </c>
      <c r="B22" s="2">
        <f>B10</f>
        <v>0.02</v>
      </c>
      <c r="H22" s="10">
        <f t="shared" si="35"/>
        <v>18</v>
      </c>
      <c r="I22">
        <f t="shared" si="15"/>
        <v>500</v>
      </c>
      <c r="J22">
        <f t="shared" si="16"/>
        <v>0</v>
      </c>
      <c r="K22">
        <f t="shared" si="17"/>
        <v>-250</v>
      </c>
      <c r="L22" s="9">
        <f t="shared" si="0"/>
        <v>0.52908372513473567</v>
      </c>
      <c r="M22" s="11">
        <f t="shared" si="1"/>
        <v>0.7001593749656233</v>
      </c>
      <c r="N22" s="10">
        <f>SUMPRODUCT(I23:I$54, L23:L$54) / L22</f>
        <v>6275.9619550057432</v>
      </c>
      <c r="O22" s="10">
        <f>SUMPRODUCT(J23:J$54, M23:M$54) / M22</f>
        <v>9.1764629473571342E-4</v>
      </c>
      <c r="P22" s="10">
        <f>SUMPRODUCT(K23:K$54, M23:M$54) / M22</f>
        <v>-5867.0837060275871</v>
      </c>
      <c r="Q22" s="10" cm="1">
        <f t="array" ref="Q22">IF($H22 &gt;= $B$12 - 1, 0, SUMPRODUCT(I23:I$54*L23:L$54, $H23:$H$54 - $H22) / L22 /N22) / (1 + $B$10)</f>
        <v>7.9963494470719167</v>
      </c>
      <c r="R22" s="10" cm="1">
        <f t="array" ref="R22">SUMPRODUCT(J23:J$54*L23:L$54, $H23:$H$54 - $H22) / L22 /O22 / (1 + $B$10)</f>
        <v>16.302436552971141</v>
      </c>
      <c r="S22" s="10" cm="1">
        <f t="array" ref="S22">SUMPRODUCT(K23:K$54*M23:M$54, $H23:$H$54 - $H22) / M22 /P22 / (1 + $B$10)</f>
        <v>14.532380650744598</v>
      </c>
      <c r="T22" s="10">
        <f t="shared" si="36"/>
        <v>0</v>
      </c>
      <c r="U22" s="10">
        <f t="shared" si="37"/>
        <v>250</v>
      </c>
      <c r="V22" s="10">
        <f t="shared" si="18"/>
        <v>408.87916662445059</v>
      </c>
      <c r="W22">
        <f t="shared" si="38"/>
        <v>5303.2572278451808</v>
      </c>
      <c r="X22" s="10">
        <f t="shared" si="19"/>
        <v>5712.1363944696313</v>
      </c>
      <c r="Y22" s="10">
        <f t="shared" si="2"/>
        <v>3765.5771730034458</v>
      </c>
      <c r="Z22">
        <f t="shared" si="3"/>
        <v>2510.3847820022975</v>
      </c>
      <c r="AA22" s="10">
        <f t="shared" si="4"/>
        <v>1627.6146456893371</v>
      </c>
      <c r="AB22" s="10">
        <f t="shared" si="5"/>
        <v>2137.9625273141087</v>
      </c>
      <c r="AC22" s="10">
        <f t="shared" si="6"/>
        <v>8.0864164854043373E-4</v>
      </c>
      <c r="AD22" s="10">
        <f t="shared" si="7"/>
        <v>1.0900464619527969E-4</v>
      </c>
      <c r="AE22">
        <f t="shared" si="20"/>
        <v>-4608.7942554472547</v>
      </c>
      <c r="AF22" s="10">
        <f t="shared" si="8"/>
        <v>-1258.2894505803324</v>
      </c>
      <c r="AG22" s="10">
        <f t="shared" si="21"/>
        <v>-2981.1788011162689</v>
      </c>
      <c r="AH22" s="10">
        <f t="shared" si="22"/>
        <v>879.67318573842249</v>
      </c>
      <c r="AI22">
        <f t="shared" si="9"/>
        <v>3526.0101200429826</v>
      </c>
      <c r="AJ22">
        <f t="shared" si="10"/>
        <v>881.50253001074566</v>
      </c>
      <c r="AK22" s="10">
        <f t="shared" si="11"/>
        <v>1304.623744415903</v>
      </c>
      <c r="AL22" s="4">
        <f t="shared" si="23"/>
        <v>0.61728395061728403</v>
      </c>
      <c r="AM22">
        <f t="shared" si="12"/>
        <v>1015.6253380406852</v>
      </c>
      <c r="AN22" s="10">
        <f t="shared" si="24"/>
        <v>3862.6813311270143</v>
      </c>
      <c r="AO22" s="10">
        <f t="shared" si="24"/>
        <v>424.95055867748056</v>
      </c>
      <c r="AP22" s="10">
        <f t="shared" si="25"/>
        <v>4287.6318898044947</v>
      </c>
      <c r="AQ22" s="9">
        <f t="shared" si="26"/>
        <v>0.90088921586576387</v>
      </c>
      <c r="AR22" s="9">
        <f t="shared" si="27"/>
        <v>9.9110784134236213E-2</v>
      </c>
      <c r="AS22">
        <f t="shared" si="39"/>
        <v>1015.6253380406852</v>
      </c>
      <c r="AT22">
        <f t="shared" si="40"/>
        <v>3862.6813311270143</v>
      </c>
      <c r="AU22">
        <f t="shared" si="41"/>
        <v>424.95055867748124</v>
      </c>
      <c r="AV22">
        <f t="shared" si="31"/>
        <v>0.19150972589224263</v>
      </c>
      <c r="AW22">
        <f t="shared" si="32"/>
        <v>0.72836016907603385</v>
      </c>
      <c r="AX22">
        <f t="shared" si="33"/>
        <v>8.013010503172352E-2</v>
      </c>
      <c r="AY22" s="3">
        <f t="shared" si="13"/>
        <v>3.4943990726450047E-2</v>
      </c>
      <c r="AZ22">
        <f t="shared" si="14"/>
        <v>1.8376778156652413E-2</v>
      </c>
      <c r="BA22" s="11">
        <f t="shared" si="34"/>
        <v>2.5755601648123842E-2</v>
      </c>
    </row>
    <row r="23" spans="1:53" x14ac:dyDescent="0.2">
      <c r="H23" s="10">
        <f t="shared" si="35"/>
        <v>19</v>
      </c>
      <c r="I23">
        <f t="shared" si="15"/>
        <v>500</v>
      </c>
      <c r="J23">
        <f t="shared" si="16"/>
        <v>0</v>
      </c>
      <c r="K23">
        <f t="shared" si="17"/>
        <v>-250</v>
      </c>
      <c r="L23" s="9">
        <f t="shared" si="0"/>
        <v>0.51069857638487992</v>
      </c>
      <c r="M23" s="11">
        <f t="shared" si="1"/>
        <v>0.68643075977021895</v>
      </c>
      <c r="N23" s="10">
        <f>SUMPRODUCT(I24:I$54, L24:L$54) / L23</f>
        <v>6001.8965853859518</v>
      </c>
      <c r="O23" s="10">
        <f>SUMPRODUCT(J24:J$54, M24:M$54) / M23</f>
        <v>9.3599922063042763E-4</v>
      </c>
      <c r="P23" s="10">
        <f>SUMPRODUCT(K24:K$54, M24:M$54) / M23</f>
        <v>-5734.4253801481382</v>
      </c>
      <c r="Q23" s="10" cm="1">
        <f t="array" ref="Q23">IF($H23 &gt;= $B$12 - 1, 0, SUMPRODUCT(I24:I$54*L24:L$54, $H24:$H$54 - $H23) / L23 /N23) / (1 + $B$10)</f>
        <v>7.6004356455420803</v>
      </c>
      <c r="R23" s="10" cm="1">
        <f t="array" ref="R23">SUMPRODUCT(J24:J$54*L24:L$54, $H24:$H$54 - $H23) / L23 /O23 / (1 + $B$10)</f>
        <v>15.877956184980571</v>
      </c>
      <c r="S23" s="10" cm="1">
        <f t="array" ref="S23">SUMPRODUCT(K24:K$54*M24:M$54, $H24:$H$54 - $H23) / M23 /P23 / (1 + $B$10)</f>
        <v>14.142805689829556</v>
      </c>
      <c r="T23" s="10">
        <f t="shared" si="36"/>
        <v>0</v>
      </c>
      <c r="U23" s="10">
        <f t="shared" si="37"/>
        <v>250</v>
      </c>
      <c r="V23" s="10">
        <f t="shared" si="18"/>
        <v>267.47214123703452</v>
      </c>
      <c r="W23">
        <f t="shared" si="38"/>
        <v>5689.845808443094</v>
      </c>
      <c r="X23" s="10">
        <f t="shared" si="19"/>
        <v>5957.3179496801285</v>
      </c>
      <c r="Y23" s="10">
        <f t="shared" si="2"/>
        <v>3601.1379512315712</v>
      </c>
      <c r="Z23">
        <f t="shared" si="3"/>
        <v>2400.7586341543806</v>
      </c>
      <c r="AA23" s="10">
        <f t="shared" si="4"/>
        <v>1479.4712026516113</v>
      </c>
      <c r="AB23" s="10">
        <f t="shared" si="5"/>
        <v>2121.6667485799599</v>
      </c>
      <c r="AC23" s="10">
        <f t="shared" si="6"/>
        <v>8.0333808726194009E-4</v>
      </c>
      <c r="AD23" s="10">
        <f t="shared" si="7"/>
        <v>1.3266113336848754E-4</v>
      </c>
      <c r="AE23">
        <f t="shared" si="20"/>
        <v>-4383.8304807709246</v>
      </c>
      <c r="AF23" s="10">
        <f t="shared" si="8"/>
        <v>-1350.5948993772136</v>
      </c>
      <c r="AG23" s="10">
        <f t="shared" si="21"/>
        <v>-2904.3584747812261</v>
      </c>
      <c r="AH23" s="10">
        <f t="shared" si="22"/>
        <v>771.07198186387973</v>
      </c>
      <c r="AI23">
        <f t="shared" si="9"/>
        <v>3677.3567590618081</v>
      </c>
      <c r="AJ23">
        <f t="shared" si="10"/>
        <v>919.33918976545203</v>
      </c>
      <c r="AK23" s="10">
        <f t="shared" si="11"/>
        <v>1360.6220008528685</v>
      </c>
      <c r="AL23" s="4">
        <f t="shared" si="23"/>
        <v>0.61728395061728392</v>
      </c>
      <c r="AM23">
        <f t="shared" si="12"/>
        <v>1276.5981249074275</v>
      </c>
      <c r="AN23" s="10">
        <f t="shared" si="24"/>
        <v>3823.697664546678</v>
      </c>
      <c r="AO23" s="10">
        <f t="shared" si="24"/>
        <v>589.55001898898877</v>
      </c>
      <c r="AP23" s="10">
        <f t="shared" si="25"/>
        <v>4413.2476835356665</v>
      </c>
      <c r="AQ23" s="9">
        <f t="shared" si="26"/>
        <v>0.86641356632024069</v>
      </c>
      <c r="AR23" s="9">
        <f t="shared" si="27"/>
        <v>0.13358643367975931</v>
      </c>
      <c r="AS23">
        <f t="shared" si="39"/>
        <v>1276.5981249074275</v>
      </c>
      <c r="AT23">
        <f t="shared" si="40"/>
        <v>3823.697664546678</v>
      </c>
      <c r="AU23">
        <f t="shared" si="41"/>
        <v>589.55001898898854</v>
      </c>
      <c r="AV23">
        <f t="shared" si="31"/>
        <v>0.22436427416242088</v>
      </c>
      <c r="AW23">
        <f t="shared" si="32"/>
        <v>0.67202131538832555</v>
      </c>
      <c r="AX23">
        <f t="shared" si="33"/>
        <v>0.10361441044925372</v>
      </c>
      <c r="AY23" s="3">
        <f t="shared" si="13"/>
        <v>3.5694784120380088E-2</v>
      </c>
      <c r="AZ23">
        <f t="shared" si="14"/>
        <v>1.6263244017756601E-2</v>
      </c>
      <c r="BA23" s="11">
        <f t="shared" si="34"/>
        <v>2.7563162111501789E-2</v>
      </c>
    </row>
    <row r="24" spans="1:53" x14ac:dyDescent="0.2">
      <c r="A24" t="s">
        <v>14</v>
      </c>
      <c r="H24" s="10">
        <f t="shared" si="35"/>
        <v>20</v>
      </c>
      <c r="I24">
        <f t="shared" si="15"/>
        <v>500</v>
      </c>
      <c r="J24">
        <f t="shared" si="16"/>
        <v>0</v>
      </c>
      <c r="K24">
        <f t="shared" si="17"/>
        <v>-250</v>
      </c>
      <c r="L24" s="9">
        <f t="shared" si="0"/>
        <v>0.49295229380779915</v>
      </c>
      <c r="M24" s="11">
        <f t="shared" si="1"/>
        <v>0.67297133310805779</v>
      </c>
      <c r="N24" s="10">
        <f>SUMPRODUCT(I25:I$54, L25:L$54) / L24</f>
        <v>5717.9648624598458</v>
      </c>
      <c r="O24" s="10">
        <f>SUMPRODUCT(J25:J$54, M25:M$54) / M24</f>
        <v>9.5471920504303618E-4</v>
      </c>
      <c r="P24" s="10">
        <f>SUMPRODUCT(K25:K$54, M25:M$54) / M24</f>
        <v>-5599.1138877511012</v>
      </c>
      <c r="Q24" s="10" cm="1">
        <f t="array" ref="Q24">IF($H24 &gt;= $B$12 - 1, 0, SUMPRODUCT(I25:I$54*L25:L$54, $H25:$H$54 - $H24) / L24 /N24) / (1 + $B$10)</f>
        <v>7.1989245808089768</v>
      </c>
      <c r="R24" s="10" cm="1">
        <f t="array" ref="R24">SUMPRODUCT(J25:J$54*L25:L$54, $H25:$H$54 - $H24) / L24 /O24 / (1 + $B$10)</f>
        <v>15.436147421210711</v>
      </c>
      <c r="S24" s="10" cm="1">
        <f t="array" ref="S24">SUMPRODUCT(K25:K$54*M25:M$54, $H25:$H$54 - $H24) / M24 /P24 / (1 + $B$10)</f>
        <v>13.750114274407412</v>
      </c>
      <c r="T24" s="10">
        <f t="shared" si="36"/>
        <v>0</v>
      </c>
      <c r="U24" s="10">
        <f t="shared" si="37"/>
        <v>250</v>
      </c>
      <c r="V24" s="10">
        <f t="shared" si="18"/>
        <v>118.85192942794947</v>
      </c>
      <c r="W24">
        <f t="shared" si="38"/>
        <v>6096.6759508506602</v>
      </c>
      <c r="X24" s="10">
        <f t="shared" si="19"/>
        <v>6215.5278802786097</v>
      </c>
      <c r="Y24" s="10">
        <f t="shared" si="2"/>
        <v>3430.7789174759073</v>
      </c>
      <c r="Z24">
        <f t="shared" si="3"/>
        <v>2287.1859449839385</v>
      </c>
      <c r="AA24" s="10">
        <f t="shared" si="4"/>
        <v>1335.0226313696498</v>
      </c>
      <c r="AB24" s="10">
        <f t="shared" si="5"/>
        <v>2095.7562861062574</v>
      </c>
      <c r="AC24" s="10">
        <f t="shared" si="6"/>
        <v>7.9660466999488663E-4</v>
      </c>
      <c r="AD24" s="10">
        <f t="shared" si="7"/>
        <v>1.5811453504814956E-4</v>
      </c>
      <c r="AE24">
        <f t="shared" si="20"/>
        <v>-4161.5381509188755</v>
      </c>
      <c r="AF24" s="10">
        <f t="shared" si="8"/>
        <v>-1437.5757368322256</v>
      </c>
      <c r="AG24" s="10">
        <f t="shared" si="21"/>
        <v>-2826.5147229445556</v>
      </c>
      <c r="AH24" s="10">
        <f t="shared" si="22"/>
        <v>658.18070738856682</v>
      </c>
      <c r="AI24">
        <f t="shared" si="9"/>
        <v>3836.7456051102536</v>
      </c>
      <c r="AJ24">
        <f t="shared" si="10"/>
        <v>959.18640127756339</v>
      </c>
      <c r="AK24" s="10">
        <f t="shared" si="11"/>
        <v>1419.5958738907927</v>
      </c>
      <c r="AL24" s="4">
        <f t="shared" si="23"/>
        <v>0.61728395061728403</v>
      </c>
      <c r="AM24">
        <f t="shared" si="12"/>
        <v>1549.5596601263151</v>
      </c>
      <c r="AN24" s="10">
        <f t="shared" si="24"/>
        <v>3785.7011242221188</v>
      </c>
      <c r="AO24" s="10">
        <f t="shared" si="24"/>
        <v>761.41516650222593</v>
      </c>
      <c r="AP24" s="10">
        <f t="shared" si="25"/>
        <v>4547.1162907243452</v>
      </c>
      <c r="AQ24" s="9">
        <f t="shared" si="26"/>
        <v>0.8325498804472109</v>
      </c>
      <c r="AR24" s="9">
        <f t="shared" si="27"/>
        <v>0.16745011955278896</v>
      </c>
      <c r="AS24">
        <f t="shared" si="39"/>
        <v>1549.5596601263151</v>
      </c>
      <c r="AT24">
        <f t="shared" si="40"/>
        <v>3785.7011242221188</v>
      </c>
      <c r="AU24">
        <f t="shared" si="41"/>
        <v>761.41516650222638</v>
      </c>
      <c r="AV24">
        <f t="shared" si="31"/>
        <v>0.25416467475364296</v>
      </c>
      <c r="AW24">
        <f t="shared" si="32"/>
        <v>0.6209451108671612</v>
      </c>
      <c r="AX24">
        <f t="shared" si="33"/>
        <v>0.1248902143791958</v>
      </c>
      <c r="AY24" s="3">
        <f t="shared" si="13"/>
        <v>3.6376038098817329E-2</v>
      </c>
      <c r="AZ24">
        <f t="shared" si="14"/>
        <v>1.4585589408319581E-2</v>
      </c>
      <c r="BA24" s="11">
        <f t="shared" si="34"/>
        <v>2.9083243394657537E-2</v>
      </c>
    </row>
    <row r="25" spans="1:53" x14ac:dyDescent="0.2">
      <c r="A25" t="s">
        <v>15</v>
      </c>
      <c r="B25" s="4">
        <f>B15/C15</f>
        <v>0.22222222222222224</v>
      </c>
      <c r="H25" s="10">
        <f t="shared" si="35"/>
        <v>21</v>
      </c>
      <c r="I25">
        <f t="shared" si="15"/>
        <v>500</v>
      </c>
      <c r="J25">
        <f t="shared" si="16"/>
        <v>0</v>
      </c>
      <c r="K25">
        <f t="shared" si="17"/>
        <v>-250</v>
      </c>
      <c r="L25" s="9">
        <f t="shared" si="0"/>
        <v>0.47582267742065554</v>
      </c>
      <c r="M25" s="11">
        <f t="shared" si="1"/>
        <v>0.65977581677260566</v>
      </c>
      <c r="N25" s="10">
        <f>SUMPRODUCT(I26:I$54, L26:L$54) / L25</f>
        <v>5423.8115975084002</v>
      </c>
      <c r="O25" s="10">
        <f>SUMPRODUCT(J26:J$54, M26:M$54) / M25</f>
        <v>9.7381358914389688E-4</v>
      </c>
      <c r="P25" s="10">
        <f>SUMPRODUCT(K26:K$54, M26:M$54) / M25</f>
        <v>-5461.0961655061219</v>
      </c>
      <c r="Q25" s="10" cm="1">
        <f t="array" ref="Q25">IF($H25 &gt;= $B$12 - 1, 0, SUMPRODUCT(I26:I$54*L26:L$54, $H26:$H$54 - $H25) / L25 /N25) / (1 + $B$10)</f>
        <v>6.7917946319110971</v>
      </c>
      <c r="R25" s="10" cm="1">
        <f t="array" ref="R25">SUMPRODUCT(J26:J$54*L26:L$54, $H26:$H$54 - $H25) / L25 /O25 / (1 + $B$10)</f>
        <v>14.976571073018695</v>
      </c>
      <c r="S25" s="10" cm="1">
        <f t="array" ref="S25">SUMPRODUCT(K26:K$54*M26:M$54, $H26:$H$54 - $H25) / M25 /P25 / (1 + $B$10)</f>
        <v>13.354298992339606</v>
      </c>
      <c r="T25" s="10">
        <f t="shared" si="36"/>
        <v>0</v>
      </c>
      <c r="U25" s="10">
        <f t="shared" si="37"/>
        <v>250</v>
      </c>
      <c r="V25" s="10">
        <f t="shared" si="18"/>
        <v>-37.283594184132198</v>
      </c>
      <c r="W25">
        <f>W24 * (1+BA24) + U25</f>
        <v>6523.9870614276051</v>
      </c>
      <c r="X25" s="10">
        <f t="shared" si="19"/>
        <v>6486.7034672434729</v>
      </c>
      <c r="Y25" s="10">
        <f t="shared" si="2"/>
        <v>3254.2869585050398</v>
      </c>
      <c r="Z25">
        <f t="shared" si="3"/>
        <v>2169.5246390033603</v>
      </c>
      <c r="AA25" s="10">
        <f t="shared" si="4"/>
        <v>1194.7269565120444</v>
      </c>
      <c r="AB25" s="10">
        <f t="shared" si="5"/>
        <v>2059.5600019929952</v>
      </c>
      <c r="AC25" s="10">
        <f t="shared" si="6"/>
        <v>7.8834532052351341E-4</v>
      </c>
      <c r="AD25" s="10">
        <f t="shared" si="7"/>
        <v>1.8546826862038347E-4</v>
      </c>
      <c r="AE25">
        <f t="shared" si="20"/>
        <v>-3942.1141091939508</v>
      </c>
      <c r="AF25" s="10">
        <f t="shared" si="8"/>
        <v>-1518.9820563121712</v>
      </c>
      <c r="AG25" s="10">
        <f t="shared" si="21"/>
        <v>-2747.3863643365858</v>
      </c>
      <c r="AH25" s="10">
        <f t="shared" si="22"/>
        <v>540.57813114909277</v>
      </c>
      <c r="AI25">
        <f t="shared" si="9"/>
        <v>4004.1379427428851</v>
      </c>
      <c r="AJ25">
        <f t="shared" si="10"/>
        <v>1001.0344856857213</v>
      </c>
      <c r="AK25" s="10">
        <f t="shared" si="11"/>
        <v>1481.5310388148664</v>
      </c>
      <c r="AL25" s="4">
        <f t="shared" si="23"/>
        <v>0.61728395061728403</v>
      </c>
      <c r="AM25">
        <f t="shared" si="12"/>
        <v>1834.6133037395248</v>
      </c>
      <c r="AN25" s="10">
        <f t="shared" si="24"/>
        <v>3748.4208500223071</v>
      </c>
      <c r="AO25" s="10">
        <f t="shared" si="24"/>
        <v>940.95290766577364</v>
      </c>
      <c r="AP25" s="10">
        <f t="shared" si="25"/>
        <v>4689.3737576880812</v>
      </c>
      <c r="AQ25" s="9">
        <f t="shared" si="26"/>
        <v>0.79934358908306014</v>
      </c>
      <c r="AR25" s="9">
        <f t="shared" si="27"/>
        <v>0.20065641091693978</v>
      </c>
      <c r="AS25">
        <f t="shared" si="39"/>
        <v>1834.6133037395248</v>
      </c>
      <c r="AT25">
        <f t="shared" si="40"/>
        <v>3748.4208500223071</v>
      </c>
      <c r="AU25">
        <f t="shared" si="41"/>
        <v>940.95290766577318</v>
      </c>
      <c r="AV25">
        <f t="shared" si="31"/>
        <v>0.28121044484997298</v>
      </c>
      <c r="AW25">
        <f t="shared" si="32"/>
        <v>0.57455982280903894</v>
      </c>
      <c r="AX25">
        <f t="shared" si="33"/>
        <v>0.14422973234098815</v>
      </c>
      <c r="AY25" s="3">
        <f t="shared" si="13"/>
        <v>3.6994016022089307E-2</v>
      </c>
      <c r="AZ25">
        <f t="shared" si="14"/>
        <v>1.3258025058641995E-2</v>
      </c>
      <c r="BA25" s="11">
        <f t="shared" si="34"/>
        <v>3.036500349276831E-2</v>
      </c>
    </row>
    <row r="26" spans="1:53" x14ac:dyDescent="0.2">
      <c r="A26" t="s">
        <v>7</v>
      </c>
      <c r="B26" s="4">
        <f>B16/C16</f>
        <v>5.5555555555555559E-2</v>
      </c>
      <c r="H26" s="10">
        <f t="shared" si="35"/>
        <v>22</v>
      </c>
      <c r="I26">
        <f t="shared" si="15"/>
        <v>500</v>
      </c>
      <c r="J26">
        <f t="shared" si="16"/>
        <v>0</v>
      </c>
      <c r="K26">
        <f t="shared" si="17"/>
        <v>-250</v>
      </c>
      <c r="L26" s="9">
        <f t="shared" si="0"/>
        <v>0.4592882986685865</v>
      </c>
      <c r="M26" s="11">
        <f t="shared" si="1"/>
        <v>0.64683903605157411</v>
      </c>
      <c r="N26" s="10">
        <f>SUMPRODUCT(I27:I$54, L27:L$54) / L26</f>
        <v>5119.0688150187007</v>
      </c>
      <c r="O26" s="10">
        <f>SUMPRODUCT(J27:J$54, M27:M$54) / M26</f>
        <v>9.9328986092677503E-4</v>
      </c>
      <c r="P26" s="10">
        <f>SUMPRODUCT(K27:K$54, M27:M$54) / M26</f>
        <v>-5320.3180888162451</v>
      </c>
      <c r="Q26" s="10" cm="1">
        <f t="array" ref="Q26">IF($H26 &gt;= $B$12 - 1, 0, SUMPRODUCT(I27:I$54*L27:L$54, $H27:$H$54 - $H26) / L26 /N26) / (1 + $B$10)</f>
        <v>6.3790254827717936</v>
      </c>
      <c r="R26" s="10" cm="1">
        <f t="array" ref="R26">SUMPRODUCT(J27:J$54*L27:L$54, $H27:$H$54 - $H26) / L26 /O26 / (1 + $B$10)</f>
        <v>14.498778437105791</v>
      </c>
      <c r="S26" s="10" cm="1">
        <f t="array" ref="S26">SUMPRODUCT(K27:K$54*M27:M$54, $H27:$H$54 - $H26) / M26 /P26 / (1 + $B$10)</f>
        <v>12.955352654547712</v>
      </c>
      <c r="T26" s="10">
        <f t="shared" si="36"/>
        <v>0</v>
      </c>
      <c r="U26" s="10">
        <f t="shared" si="37"/>
        <v>250</v>
      </c>
      <c r="V26" s="10">
        <f t="shared" si="18"/>
        <v>-201.24828050768338</v>
      </c>
      <c r="W26">
        <f t="shared" ref="W26:W38" si="42">W25 * (1+BA25) + U26</f>
        <v>6972.087951334629</v>
      </c>
      <c r="X26" s="10">
        <f t="shared" si="19"/>
        <v>6770.8396708269456</v>
      </c>
      <c r="Y26" s="10">
        <f t="shared" si="2"/>
        <v>3071.4412890112203</v>
      </c>
      <c r="Z26">
        <f t="shared" si="3"/>
        <v>2047.6275260074804</v>
      </c>
      <c r="AA26" s="10">
        <f t="shared" si="4"/>
        <v>1059.0703919697307</v>
      </c>
      <c r="AB26" s="10">
        <f t="shared" si="5"/>
        <v>2012.3708970414896</v>
      </c>
      <c r="AC26" s="10">
        <f t="shared" si="6"/>
        <v>7.7845889823788847E-4</v>
      </c>
      <c r="AD26" s="10">
        <f t="shared" si="7"/>
        <v>2.1483096268888656E-4</v>
      </c>
      <c r="AE26">
        <f t="shared" si="20"/>
        <v>-3725.7620040531756</v>
      </c>
      <c r="AF26" s="10">
        <f t="shared" si="8"/>
        <v>-1594.5560847630695</v>
      </c>
      <c r="AG26" s="10">
        <f t="shared" si="21"/>
        <v>-2666.6908336245469</v>
      </c>
      <c r="AH26" s="10">
        <f t="shared" si="22"/>
        <v>417.81502710938275</v>
      </c>
      <c r="AI26">
        <f t="shared" si="9"/>
        <v>4179.530661004288</v>
      </c>
      <c r="AJ26">
        <f t="shared" si="10"/>
        <v>1044.882665251072</v>
      </c>
      <c r="AK26" s="10">
        <f t="shared" si="11"/>
        <v>1546.4263445715856</v>
      </c>
      <c r="AL26" s="4">
        <f t="shared" si="23"/>
        <v>0.61728395061728392</v>
      </c>
      <c r="AM26">
        <f t="shared" si="12"/>
        <v>2131.9031349968077</v>
      </c>
      <c r="AN26" s="10">
        <f t="shared" si="24"/>
        <v>3711.573498875619</v>
      </c>
      <c r="AO26" s="10">
        <f t="shared" si="24"/>
        <v>1128.6113174622028</v>
      </c>
      <c r="AP26" s="10">
        <f t="shared" si="25"/>
        <v>4840.1848163378218</v>
      </c>
      <c r="AQ26" s="9">
        <f t="shared" si="26"/>
        <v>0.76682474734174877</v>
      </c>
      <c r="AR26" s="9">
        <f t="shared" si="27"/>
        <v>0.2331752526582512</v>
      </c>
      <c r="AS26">
        <f t="shared" si="39"/>
        <v>2131.9031349968077</v>
      </c>
      <c r="AT26">
        <f t="shared" si="40"/>
        <v>3711.573498875619</v>
      </c>
      <c r="AU26">
        <f t="shared" si="41"/>
        <v>1128.6113174622028</v>
      </c>
      <c r="AV26">
        <f t="shared" si="31"/>
        <v>0.30577685621259393</v>
      </c>
      <c r="AW26">
        <f t="shared" si="32"/>
        <v>0.53234748683357214</v>
      </c>
      <c r="AX26">
        <f t="shared" si="33"/>
        <v>0.16187565695383385</v>
      </c>
      <c r="AY26" s="3">
        <f t="shared" si="13"/>
        <v>3.7554549116839475E-2</v>
      </c>
      <c r="AZ26">
        <f t="shared" si="14"/>
        <v>1.2211343974078193E-2</v>
      </c>
      <c r="BA26" s="11">
        <f t="shared" si="34"/>
        <v>3.1448877129800379E-2</v>
      </c>
    </row>
    <row r="27" spans="1:53" x14ac:dyDescent="0.2">
      <c r="H27" s="10">
        <f t="shared" si="35"/>
        <v>23</v>
      </c>
      <c r="I27">
        <f t="shared" si="15"/>
        <v>500</v>
      </c>
      <c r="J27">
        <f t="shared" si="16"/>
        <v>0</v>
      </c>
      <c r="K27">
        <f t="shared" si="17"/>
        <v>-250</v>
      </c>
      <c r="L27" s="9">
        <f t="shared" si="0"/>
        <v>0.44332847361832661</v>
      </c>
      <c r="M27" s="11">
        <f t="shared" si="1"/>
        <v>0.63415591769762181</v>
      </c>
      <c r="N27" s="10">
        <f>SUMPRODUCT(I28:I$54, L28:L$54) / L27</f>
        <v>4803.3552923593752</v>
      </c>
      <c r="O27" s="10">
        <f>SUMPRODUCT(J28:J$54, M28:M$54) / M27</f>
        <v>1.0131556581453101E-3</v>
      </c>
      <c r="P27" s="10">
        <f>SUMPRODUCT(K28:K$54, M28:M$54) / M27</f>
        <v>-5176.7244505925701</v>
      </c>
      <c r="Q27" s="10" cm="1">
        <f t="array" ref="Q27">IF($H27 &gt;= $B$12 - 1, 0, SUMPRODUCT(I28:I$54*L28:L$54, $H28:$H$54 - $H27) / L27 /N27) / (1 + $B$10)</f>
        <v>5.960598139806593</v>
      </c>
      <c r="R27" s="10" cm="1">
        <f t="array" ref="R27">SUMPRODUCT(J28:J$54*L28:L$54, $H28:$H$54 - $H27) / L27 /O27 / (1 + $B$10)</f>
        <v>14.002311105084774</v>
      </c>
      <c r="S27" s="10" cm="1">
        <f t="array" ref="S27">SUMPRODUCT(K28:K$54*M28:M$54, $H28:$H$54 - $H27) / M27 /P27 / (1 + $B$10)</f>
        <v>12.553268296949524</v>
      </c>
      <c r="T27" s="10">
        <f t="shared" si="36"/>
        <v>0</v>
      </c>
      <c r="U27" s="10">
        <f t="shared" si="37"/>
        <v>250</v>
      </c>
      <c r="V27" s="10">
        <f t="shared" si="18"/>
        <v>-373.36814507753661</v>
      </c>
      <c r="W27">
        <f t="shared" si="42"/>
        <v>7441.3522886543142</v>
      </c>
      <c r="X27" s="10">
        <f t="shared" si="19"/>
        <v>7067.9841435767776</v>
      </c>
      <c r="Y27" s="10">
        <f t="shared" si="2"/>
        <v>2882.013175415625</v>
      </c>
      <c r="Z27">
        <f t="shared" si="3"/>
        <v>1921.3421169437502</v>
      </c>
      <c r="AA27" s="10">
        <f t="shared" si="4"/>
        <v>928.56877688002521</v>
      </c>
      <c r="AB27" s="10">
        <f t="shared" si="5"/>
        <v>1953.4443985355997</v>
      </c>
      <c r="AC27" s="10">
        <f t="shared" si="6"/>
        <v>7.6683895801229996E-4</v>
      </c>
      <c r="AD27" s="10">
        <f t="shared" si="7"/>
        <v>2.4631670013301017E-4</v>
      </c>
      <c r="AE27">
        <f t="shared" si="20"/>
        <v>-3512.6924825766032</v>
      </c>
      <c r="AF27" s="10">
        <f t="shared" si="8"/>
        <v>-1664.0319680159669</v>
      </c>
      <c r="AG27" s="10">
        <f t="shared" si="21"/>
        <v>-2584.1229388576198</v>
      </c>
      <c r="AH27" s="10">
        <f t="shared" si="22"/>
        <v>289.41267683633305</v>
      </c>
      <c r="AI27">
        <f t="shared" si="9"/>
        <v>4362.9531750473943</v>
      </c>
      <c r="AJ27">
        <f t="shared" si="10"/>
        <v>1090.7382937618486</v>
      </c>
      <c r="AK27" s="10">
        <f t="shared" si="11"/>
        <v>1614.2926747675347</v>
      </c>
      <c r="AL27" s="4">
        <f t="shared" si="23"/>
        <v>0.61728395061728403</v>
      </c>
      <c r="AM27">
        <f t="shared" si="12"/>
        <v>2441.6110581036442</v>
      </c>
      <c r="AN27" s="10">
        <f t="shared" si="24"/>
        <v>3674.8612326194684</v>
      </c>
      <c r="AO27" s="10">
        <f t="shared" si="24"/>
        <v>1324.8799979312016</v>
      </c>
      <c r="AP27" s="10">
        <f t="shared" si="25"/>
        <v>4999.7412305506696</v>
      </c>
      <c r="AQ27" s="9">
        <f t="shared" si="26"/>
        <v>0.73501028616529429</v>
      </c>
      <c r="AR27" s="9">
        <f t="shared" si="27"/>
        <v>0.26498971383470576</v>
      </c>
      <c r="AS27">
        <f t="shared" si="39"/>
        <v>2441.6110581036442</v>
      </c>
      <c r="AT27">
        <f t="shared" si="40"/>
        <v>3674.8612326194684</v>
      </c>
      <c r="AU27">
        <f t="shared" si="41"/>
        <v>1324.8799979312012</v>
      </c>
      <c r="AV27">
        <f t="shared" si="31"/>
        <v>0.3281138915874634</v>
      </c>
      <c r="AW27">
        <f t="shared" si="32"/>
        <v>0.49384320081478444</v>
      </c>
      <c r="AX27">
        <f t="shared" si="33"/>
        <v>0.1780429075977521</v>
      </c>
      <c r="AY27" s="3">
        <f t="shared" si="13"/>
        <v>3.8062987671646384E-2</v>
      </c>
      <c r="AZ27">
        <f t="shared" si="14"/>
        <v>1.1389890584134622E-2</v>
      </c>
      <c r="BA27" s="11">
        <f t="shared" si="34"/>
        <v>3.2368042379579076E-2</v>
      </c>
    </row>
    <row r="28" spans="1:53" x14ac:dyDescent="0.2">
      <c r="A28" t="s">
        <v>17</v>
      </c>
      <c r="B28">
        <f>1/B7 / (1 - D15^2)</f>
        <v>0.5</v>
      </c>
      <c r="H28" s="10">
        <f t="shared" si="35"/>
        <v>24</v>
      </c>
      <c r="I28">
        <f t="shared" si="15"/>
        <v>500</v>
      </c>
      <c r="J28">
        <f t="shared" si="16"/>
        <v>0</v>
      </c>
      <c r="K28">
        <f t="shared" si="17"/>
        <v>-250</v>
      </c>
      <c r="L28" s="9">
        <f t="shared" si="0"/>
        <v>0.42792323708332691</v>
      </c>
      <c r="M28" s="11">
        <f t="shared" si="1"/>
        <v>0.62172148793884485</v>
      </c>
      <c r="N28" s="10">
        <f>SUMPRODUCT(I29:I$54, L29:L$54) / L28</f>
        <v>4476.2760828843129</v>
      </c>
      <c r="O28" s="10">
        <f>SUMPRODUCT(J29:J$54, M29:M$54) / M28</f>
        <v>1.0334187713082164E-3</v>
      </c>
      <c r="P28" s="10">
        <f>SUMPRODUCT(K29:K$54, M29:M$54) / M28</f>
        <v>-5030.2589396044214</v>
      </c>
      <c r="Q28" s="10" cm="1">
        <f t="array" ref="Q28">IF($H28 &gt;= $B$12 - 1, 0, SUMPRODUCT(I29:I$54*L29:L$54, $H29:$H$54 - $H28) / L28 /N28) / (1 + $B$10)</f>
        <v>5.5364949484509536</v>
      </c>
      <c r="R28" s="10" cm="1">
        <f t="array" ref="R28">SUMPRODUCT(J29:J$54*L29:L$54, $H29:$H$54 - $H28) / L28 /O28 / (1 + $B$10)</f>
        <v>13.486700769414126</v>
      </c>
      <c r="S28" s="10" cm="1">
        <f t="array" ref="S28">SUMPRODUCT(K29:K$54*M29:M$54, $H29:$H$54 - $H28) / M28 /P28 / (1 + $B$10)</f>
        <v>12.148039182339472</v>
      </c>
      <c r="T28" s="10">
        <f t="shared" si="36"/>
        <v>0</v>
      </c>
      <c r="U28" s="10">
        <f t="shared" si="37"/>
        <v>250</v>
      </c>
      <c r="V28" s="10">
        <f t="shared" si="18"/>
        <v>-553.9818233013375</v>
      </c>
      <c r="W28">
        <f t="shared" si="42"/>
        <v>7932.2142948948549</v>
      </c>
      <c r="X28" s="10">
        <f t="shared" si="19"/>
        <v>7378.2324715935174</v>
      </c>
      <c r="Y28" s="10">
        <f t="shared" si="2"/>
        <v>2685.7656497305879</v>
      </c>
      <c r="Z28">
        <f t="shared" si="3"/>
        <v>1790.5104331537252</v>
      </c>
      <c r="AA28" s="10">
        <f t="shared" si="4"/>
        <v>803.76907851116187</v>
      </c>
      <c r="AB28" s="10">
        <f t="shared" si="5"/>
        <v>1881.9965712194262</v>
      </c>
      <c r="AC28" s="10">
        <f t="shared" si="6"/>
        <v>7.5337349935835263E-4</v>
      </c>
      <c r="AD28" s="10">
        <f t="shared" si="7"/>
        <v>2.8004527194986381E-4</v>
      </c>
      <c r="AE28">
        <f t="shared" si="20"/>
        <v>-3303.1233889528603</v>
      </c>
      <c r="AF28" s="10">
        <f t="shared" si="8"/>
        <v>-1727.1355506515611</v>
      </c>
      <c r="AG28" s="10">
        <f t="shared" si="21"/>
        <v>-2499.3535570681988</v>
      </c>
      <c r="AH28" s="10">
        <f t="shared" si="22"/>
        <v>154.86130061313702</v>
      </c>
      <c r="AI28">
        <f t="shared" si="9"/>
        <v>4554.4644886379747</v>
      </c>
      <c r="AJ28">
        <f t="shared" si="10"/>
        <v>1138.6161221594937</v>
      </c>
      <c r="AK28" s="10">
        <f t="shared" si="11"/>
        <v>1685.151860796049</v>
      </c>
      <c r="AL28" s="4">
        <f t="shared" si="23"/>
        <v>0.61728395061728414</v>
      </c>
      <c r="AM28">
        <f t="shared" si="12"/>
        <v>2763.9540554842497</v>
      </c>
      <c r="AN28" s="10">
        <f t="shared" si="24"/>
        <v>3637.9696792276927</v>
      </c>
      <c r="AO28" s="10">
        <f t="shared" si="24"/>
        <v>1530.290560182912</v>
      </c>
      <c r="AP28" s="10">
        <f t="shared" si="25"/>
        <v>5168.2602394106052</v>
      </c>
      <c r="AQ28" s="9">
        <f t="shared" si="26"/>
        <v>0.7039060555593406</v>
      </c>
      <c r="AR28" s="9">
        <f t="shared" si="27"/>
        <v>0.29609394444065923</v>
      </c>
      <c r="AS28">
        <f t="shared" si="39"/>
        <v>2763.9540554842497</v>
      </c>
      <c r="AT28">
        <f t="shared" si="40"/>
        <v>3637.9696792276923</v>
      </c>
      <c r="AU28">
        <f t="shared" si="41"/>
        <v>1530.2905601829129</v>
      </c>
      <c r="AV28">
        <f t="shared" si="31"/>
        <v>0.34844672026361173</v>
      </c>
      <c r="AW28">
        <f t="shared" si="32"/>
        <v>0.45863229912599268</v>
      </c>
      <c r="AX28">
        <f t="shared" si="33"/>
        <v>0.19292098061039559</v>
      </c>
      <c r="AY28" s="3">
        <f t="shared" si="13"/>
        <v>3.85241918018044E-2</v>
      </c>
      <c r="AZ28">
        <f t="shared" si="14"/>
        <v>1.07489819663156E-2</v>
      </c>
      <c r="BA28" s="11">
        <f t="shared" si="34"/>
        <v>3.3149700818646599E-2</v>
      </c>
    </row>
    <row r="29" spans="1:53" x14ac:dyDescent="0.2">
      <c r="A29" t="s">
        <v>18</v>
      </c>
      <c r="H29" s="10">
        <f t="shared" si="35"/>
        <v>25</v>
      </c>
      <c r="I29">
        <f t="shared" si="15"/>
        <v>500</v>
      </c>
      <c r="J29">
        <f t="shared" si="16"/>
        <v>0</v>
      </c>
      <c r="K29">
        <f t="shared" si="17"/>
        <v>-250</v>
      </c>
      <c r="L29" s="9">
        <f t="shared" si="0"/>
        <v>0.41305331764799891</v>
      </c>
      <c r="M29" s="11">
        <f t="shared" si="1"/>
        <v>0.60953087052827937</v>
      </c>
      <c r="N29" s="10">
        <f>SUMPRODUCT(I30:I$54, L30:L$54) / L29</f>
        <v>4137.4220218681494</v>
      </c>
      <c r="O29" s="10">
        <f>SUMPRODUCT(J30:J$54, M30:M$54) / M29</f>
        <v>1.0540871467343807E-3</v>
      </c>
      <c r="P29" s="10">
        <f>SUMPRODUCT(K30:K$54, M30:M$54) / M29</f>
        <v>-4880.8641183965092</v>
      </c>
      <c r="Q29" s="10" cm="1">
        <f t="array" ref="Q29">IF($H29 &gt;= $B$12 - 1, 0, SUMPRODUCT(I30:I$54*L30:L$54, $H30:$H$54 - $H29) / L29 /N29) / (1 + $B$10)</f>
        <v>5.106699608580425</v>
      </c>
      <c r="R29" s="10" cm="1">
        <f t="array" ref="R29">SUMPRODUCT(J30:J$54*L30:L$54, $H30:$H$54 - $H29) / L29 /O29 / (1 + $B$10)</f>
        <v>12.951469025631992</v>
      </c>
      <c r="S29" s="10" cm="1">
        <f t="array" ref="S29">SUMPRODUCT(K30:K$54*M30:M$54, $H30:$H$54 - $H29) / M29 /P29 / (1 + $B$10)</f>
        <v>11.739658802212363</v>
      </c>
      <c r="T29" s="10">
        <f t="shared" si="36"/>
        <v>0</v>
      </c>
      <c r="U29" s="10">
        <f t="shared" si="37"/>
        <v>250</v>
      </c>
      <c r="V29" s="10">
        <f t="shared" si="18"/>
        <v>-743.44104244121263</v>
      </c>
      <c r="W29">
        <f t="shared" si="42"/>
        <v>8445.1648256000099</v>
      </c>
      <c r="X29" s="10">
        <f t="shared" si="19"/>
        <v>7701.7237831587972</v>
      </c>
      <c r="Y29" s="10">
        <f t="shared" si="2"/>
        <v>2482.4532131208898</v>
      </c>
      <c r="Z29">
        <f t="shared" si="3"/>
        <v>1654.9688087472598</v>
      </c>
      <c r="AA29" s="10">
        <f t="shared" si="4"/>
        <v>685.25096496019819</v>
      </c>
      <c r="AB29" s="10">
        <f t="shared" si="5"/>
        <v>1797.2022481606916</v>
      </c>
      <c r="AC29" s="10">
        <f t="shared" si="6"/>
        <v>7.3794470439173714E-4</v>
      </c>
      <c r="AD29" s="10">
        <f t="shared" si="7"/>
        <v>3.1614244234264358E-4</v>
      </c>
      <c r="AE29">
        <f t="shared" si="20"/>
        <v>-3097.2799681046517</v>
      </c>
      <c r="AF29" s="10">
        <f t="shared" si="8"/>
        <v>-1783.5841502918574</v>
      </c>
      <c r="AG29" s="10">
        <f t="shared" si="21"/>
        <v>-2412.0282651997491</v>
      </c>
      <c r="AH29" s="10">
        <f t="shared" si="22"/>
        <v>13.618414011276627</v>
      </c>
      <c r="AI29">
        <f t="shared" si="9"/>
        <v>4754.1504834313573</v>
      </c>
      <c r="AJ29">
        <f t="shared" si="10"/>
        <v>1188.5376208578393</v>
      </c>
      <c r="AK29" s="10">
        <f t="shared" si="11"/>
        <v>1759.0356788696006</v>
      </c>
      <c r="AL29" s="4">
        <f t="shared" si="23"/>
        <v>0.61728395061728403</v>
      </c>
      <c r="AM29">
        <f t="shared" si="12"/>
        <v>3099.1816746840977</v>
      </c>
      <c r="AN29" s="10">
        <f t="shared" si="24"/>
        <v>3600.5658860575886</v>
      </c>
      <c r="AO29" s="10">
        <f t="shared" si="24"/>
        <v>1745.417264858324</v>
      </c>
      <c r="AP29" s="10">
        <f t="shared" si="25"/>
        <v>5345.9831509159121</v>
      </c>
      <c r="AQ29" s="9">
        <f t="shared" si="26"/>
        <v>0.67350864834669633</v>
      </c>
      <c r="AR29" s="9">
        <f t="shared" si="27"/>
        <v>0.32649135165330379</v>
      </c>
      <c r="AS29">
        <f t="shared" si="39"/>
        <v>3099.1816746840977</v>
      </c>
      <c r="AT29">
        <f t="shared" si="40"/>
        <v>3600.5658860575886</v>
      </c>
      <c r="AU29">
        <f t="shared" si="41"/>
        <v>1745.4172648583235</v>
      </c>
      <c r="AV29">
        <f t="shared" si="31"/>
        <v>0.36697705002624481</v>
      </c>
      <c r="AW29">
        <f t="shared" si="32"/>
        <v>0.42634643140926221</v>
      </c>
      <c r="AX29">
        <f t="shared" si="33"/>
        <v>0.20667651856449298</v>
      </c>
      <c r="AY29" s="3">
        <f t="shared" si="13"/>
        <v>3.8942546315142421E-2</v>
      </c>
      <c r="AZ29">
        <f t="shared" si="14"/>
        <v>1.0252767288212637E-2</v>
      </c>
      <c r="BA29" s="11">
        <f t="shared" si="34"/>
        <v>3.3816162671036099E-2</v>
      </c>
    </row>
    <row r="30" spans="1:53" x14ac:dyDescent="0.2">
      <c r="A30" t="s">
        <v>15</v>
      </c>
      <c r="B30" s="4">
        <f>B25 * B$28 / C15</f>
        <v>0.61728395061728403</v>
      </c>
      <c r="H30" s="10">
        <f t="shared" si="35"/>
        <v>26</v>
      </c>
      <c r="I30">
        <f t="shared" si="15"/>
        <v>500</v>
      </c>
      <c r="J30">
        <f t="shared" si="16"/>
        <v>0</v>
      </c>
      <c r="K30">
        <f t="shared" si="17"/>
        <v>-250</v>
      </c>
      <c r="L30" s="9">
        <f t="shared" si="0"/>
        <v>0.39870011355984458</v>
      </c>
      <c r="M30" s="11">
        <f t="shared" si="1"/>
        <v>0.59757928483164635</v>
      </c>
      <c r="N30" s="10">
        <f>SUMPRODUCT(I31:I$54, L31:L$54) / L30</f>
        <v>3786.3692146554017</v>
      </c>
      <c r="O30" s="10">
        <f>SUMPRODUCT(J31:J$54, M31:M$54) / M30</f>
        <v>1.0751688896690685E-3</v>
      </c>
      <c r="P30" s="10">
        <f>SUMPRODUCT(K31:K$54, M31:M$54) / M30</f>
        <v>-4728.48140076444</v>
      </c>
      <c r="Q30" s="10" cm="1">
        <f t="array" ref="Q30">IF($H30 &gt;= $B$12 - 1, 0, SUMPRODUCT(I31:I$54*L31:L$54, $H31:$H$54 - $H30) / L30 /N30) / (1 + $B$10)</f>
        <v>4.6711971887970076</v>
      </c>
      <c r="R30" s="10" cm="1">
        <f t="array" ref="R30">SUMPRODUCT(J31:J$54*L31:L$54, $H31:$H$54 - $H30) / L30 /O30 / (1 + $B$10)</f>
        <v>12.396127170821389</v>
      </c>
      <c r="S30" s="10" cm="1">
        <f t="array" ref="S30">SUMPRODUCT(K31:K$54*M31:M$54, $H31:$H$54 - $H30) / M30 /P30 / (1 + $B$10)</f>
        <v>11.328120878529544</v>
      </c>
      <c r="T30" s="10">
        <f t="shared" si="36"/>
        <v>0</v>
      </c>
      <c r="U30" s="10">
        <f t="shared" si="37"/>
        <v>250</v>
      </c>
      <c r="V30" s="10">
        <f t="shared" si="18"/>
        <v>-942.11111094014859</v>
      </c>
      <c r="W30">
        <f t="shared" si="42"/>
        <v>8980.7478931262121</v>
      </c>
      <c r="X30" s="10">
        <f t="shared" si="19"/>
        <v>8038.636782186064</v>
      </c>
      <c r="Y30" s="10">
        <f t="shared" si="2"/>
        <v>2271.8215287932408</v>
      </c>
      <c r="Z30">
        <f t="shared" si="3"/>
        <v>1514.5476858621607</v>
      </c>
      <c r="AA30" s="10">
        <f t="shared" si="4"/>
        <v>573.62845074310849</v>
      </c>
      <c r="AB30" s="10">
        <f t="shared" si="5"/>
        <v>1698.1930780501323</v>
      </c>
      <c r="AC30" s="10">
        <f t="shared" si="6"/>
        <v>7.2042866413235703E-4</v>
      </c>
      <c r="AD30" s="10">
        <f t="shared" si="7"/>
        <v>3.5474022553671147E-4</v>
      </c>
      <c r="AE30">
        <f t="shared" si="20"/>
        <v>-2895.3950745804477</v>
      </c>
      <c r="AF30" s="10">
        <f t="shared" si="8"/>
        <v>-1833.0863261839922</v>
      </c>
      <c r="AG30" s="10">
        <f t="shared" si="21"/>
        <v>-2321.7659034086751</v>
      </c>
      <c r="AH30" s="10">
        <f t="shared" si="22"/>
        <v>-134.89289339363449</v>
      </c>
      <c r="AI30">
        <f t="shared" si="9"/>
        <v>4962.1214704852255</v>
      </c>
      <c r="AJ30">
        <f t="shared" si="10"/>
        <v>1240.5303676213064</v>
      </c>
      <c r="AK30" s="10">
        <f t="shared" si="11"/>
        <v>1835.9849440795322</v>
      </c>
      <c r="AL30" s="4">
        <f t="shared" si="23"/>
        <v>0.61728395061728403</v>
      </c>
      <c r="AM30">
        <f t="shared" si="12"/>
        <v>3447.573784623065</v>
      </c>
      <c r="AN30" s="10">
        <f t="shared" si="24"/>
        <v>3562.2962710299817</v>
      </c>
      <c r="AO30" s="10">
        <f t="shared" si="24"/>
        <v>1970.8778374731667</v>
      </c>
      <c r="AP30" s="10">
        <f t="shared" si="25"/>
        <v>5533.1741085031481</v>
      </c>
      <c r="AQ30" s="9">
        <f t="shared" si="26"/>
        <v>0.64380700863101259</v>
      </c>
      <c r="AR30" s="9">
        <f t="shared" si="27"/>
        <v>0.35619299136898747</v>
      </c>
      <c r="AS30">
        <f t="shared" si="39"/>
        <v>3447.573784623065</v>
      </c>
      <c r="AT30">
        <f t="shared" si="40"/>
        <v>3562.2962710299817</v>
      </c>
      <c r="AU30">
        <f t="shared" si="41"/>
        <v>1970.8778374731655</v>
      </c>
      <c r="AV30">
        <f t="shared" si="31"/>
        <v>0.38388493092672255</v>
      </c>
      <c r="AW30">
        <f t="shared" si="32"/>
        <v>0.39665919959255652</v>
      </c>
      <c r="AX30">
        <f t="shared" si="33"/>
        <v>0.21945586948072093</v>
      </c>
      <c r="AY30" s="3">
        <f t="shared" si="13"/>
        <v>3.9321989232994473E-2</v>
      </c>
      <c r="AZ30">
        <f t="shared" si="14"/>
        <v>9.872479610374317E-3</v>
      </c>
      <c r="BA30" s="11">
        <f t="shared" si="34"/>
        <v>3.4385749427807311E-2</v>
      </c>
    </row>
    <row r="31" spans="1:53" x14ac:dyDescent="0.2">
      <c r="A31" t="s">
        <v>19</v>
      </c>
      <c r="B31" s="4">
        <f>B26 * B$28 / C16</f>
        <v>0.15432098765432101</v>
      </c>
      <c r="H31" s="10">
        <f t="shared" si="35"/>
        <v>27</v>
      </c>
      <c r="I31">
        <f t="shared" si="15"/>
        <v>500</v>
      </c>
      <c r="J31">
        <f t="shared" si="16"/>
        <v>0</v>
      </c>
      <c r="K31">
        <f t="shared" si="17"/>
        <v>-250</v>
      </c>
      <c r="L31" s="9">
        <f t="shared" si="0"/>
        <v>0.38484566945930937</v>
      </c>
      <c r="M31" s="11">
        <f t="shared" si="1"/>
        <v>0.58586204395259456</v>
      </c>
      <c r="N31" s="10">
        <f>SUMPRODUCT(I32:I$54, L32:L$54) / L31</f>
        <v>3422.6785063829971</v>
      </c>
      <c r="O31" s="10">
        <f>SUMPRODUCT(J32:J$54, M32:M$54) / M31</f>
        <v>1.0966722674624497E-3</v>
      </c>
      <c r="P31" s="10">
        <f>SUMPRODUCT(K32:K$54, M32:M$54) / M31</f>
        <v>-4573.0510287797279</v>
      </c>
      <c r="Q31" s="10" cm="1">
        <f t="array" ref="Q31">IF($H31 &gt;= $B$12 - 1, 0, SUMPRODUCT(I32:I$54*L32:L$54, $H32:$H$54 - $H31) / L31 /N31) / (1 + $B$10)</f>
        <v>4.2299741395573172</v>
      </c>
      <c r="R31" s="10" cm="1">
        <f t="array" ref="R31">SUMPRODUCT(J32:J$54*L32:L$54, $H32:$H$54 - $H31) / L31 /O31 / (1 + $B$10)</f>
        <v>11.820175998237255</v>
      </c>
      <c r="S31" s="10" cm="1">
        <f t="array" ref="S31">SUMPRODUCT(K32:K$54*M32:M$54, $H32:$H$54 - $H31) / M31 /P31 / (1 + $B$10)</f>
        <v>10.91341936542657</v>
      </c>
      <c r="T31" s="10">
        <f t="shared" si="36"/>
        <v>0</v>
      </c>
      <c r="U31" s="10">
        <f t="shared" si="37"/>
        <v>250</v>
      </c>
      <c r="V31" s="10">
        <f t="shared" si="18"/>
        <v>-1150.3714257244633</v>
      </c>
      <c r="W31">
        <f t="shared" si="42"/>
        <v>9539.5576398535577</v>
      </c>
      <c r="X31" s="10">
        <f t="shared" si="19"/>
        <v>8389.1862141290949</v>
      </c>
      <c r="Y31" s="10">
        <f t="shared" si="2"/>
        <v>2053.6071038297982</v>
      </c>
      <c r="Z31">
        <f t="shared" si="3"/>
        <v>1369.0714025531988</v>
      </c>
      <c r="AA31" s="10">
        <f t="shared" si="4"/>
        <v>469.55161848709429</v>
      </c>
      <c r="AB31" s="10">
        <f t="shared" si="5"/>
        <v>1584.0554853427038</v>
      </c>
      <c r="AC31" s="10">
        <f t="shared" si="6"/>
        <v>7.0069509263740945E-4</v>
      </c>
      <c r="AD31" s="10">
        <f t="shared" si="7"/>
        <v>3.9597717482504023E-4</v>
      </c>
      <c r="AE31">
        <f t="shared" si="20"/>
        <v>-2697.709386841545</v>
      </c>
      <c r="AF31" s="10">
        <f t="shared" si="8"/>
        <v>-1875.3416419381829</v>
      </c>
      <c r="AG31" s="10">
        <f t="shared" si="21"/>
        <v>-2228.1570676593583</v>
      </c>
      <c r="AH31" s="10">
        <f t="shared" si="22"/>
        <v>-291.28576061830427</v>
      </c>
      <c r="AI31">
        <f t="shared" si="9"/>
        <v>5178.5100087216642</v>
      </c>
      <c r="AJ31">
        <f t="shared" si="10"/>
        <v>1294.6275021804161</v>
      </c>
      <c r="AK31" s="10">
        <f t="shared" si="11"/>
        <v>1916.0487032270146</v>
      </c>
      <c r="AL31" s="4">
        <f t="shared" si="23"/>
        <v>0.61728395061728403</v>
      </c>
      <c r="AM31">
        <f t="shared" si="12"/>
        <v>3809.4386061684654</v>
      </c>
      <c r="AN31" s="10">
        <f t="shared" si="24"/>
        <v>3522.7845698397741</v>
      </c>
      <c r="AO31" s="10">
        <f t="shared" si="24"/>
        <v>2207.3344638453191</v>
      </c>
      <c r="AP31" s="10">
        <f t="shared" si="25"/>
        <v>5730.1190336850932</v>
      </c>
      <c r="AQ31" s="9">
        <f t="shared" si="26"/>
        <v>0.6147838376708622</v>
      </c>
      <c r="AR31" s="9">
        <f t="shared" si="27"/>
        <v>0.3852161623291378</v>
      </c>
      <c r="AS31">
        <f t="shared" si="39"/>
        <v>3809.4386061684654</v>
      </c>
      <c r="AT31">
        <f t="shared" si="40"/>
        <v>3522.7845698397741</v>
      </c>
      <c r="AU31">
        <f t="shared" si="41"/>
        <v>2207.3344638453182</v>
      </c>
      <c r="AV31">
        <f t="shared" si="31"/>
        <v>0.39933073943111519</v>
      </c>
      <c r="AW31">
        <f t="shared" si="32"/>
        <v>0.36928175318345818</v>
      </c>
      <c r="AX31">
        <f t="shared" si="33"/>
        <v>0.23138750738542663</v>
      </c>
      <c r="AY31" s="3">
        <f t="shared" si="13"/>
        <v>3.9666047109079186E-2</v>
      </c>
      <c r="AZ31">
        <f t="shared" si="14"/>
        <v>9.5850233071187313E-3</v>
      </c>
      <c r="BA31" s="11">
        <f t="shared" si="34"/>
        <v>3.487353545551982E-2</v>
      </c>
    </row>
    <row r="32" spans="1:53" x14ac:dyDescent="0.2">
      <c r="A32" t="s">
        <v>43</v>
      </c>
      <c r="B32" s="2">
        <f>SUMPRODUCT(B30:B31, B15:B16) + B10</f>
        <v>4.623456790123457E-2</v>
      </c>
      <c r="H32" s="10">
        <f t="shared" si="35"/>
        <v>28</v>
      </c>
      <c r="I32">
        <f t="shared" si="15"/>
        <v>500</v>
      </c>
      <c r="J32">
        <f t="shared" si="16"/>
        <v>0</v>
      </c>
      <c r="K32">
        <f t="shared" si="17"/>
        <v>-250</v>
      </c>
      <c r="L32" s="9">
        <f t="shared" si="0"/>
        <v>0.37147265391825229</v>
      </c>
      <c r="M32" s="11">
        <f t="shared" si="1"/>
        <v>0.57437455289470041</v>
      </c>
      <c r="N32" s="10">
        <f>SUMPRODUCT(I33:I$54, L33:L$54) / L32</f>
        <v>3045.8949326127849</v>
      </c>
      <c r="O32" s="10">
        <f>SUMPRODUCT(J33:J$54, M33:M$54) / M32</f>
        <v>1.1186057128116989E-3</v>
      </c>
      <c r="P32" s="10">
        <f>SUMPRODUCT(K33:K$54, M33:M$54) / M32</f>
        <v>-4414.512049355325</v>
      </c>
      <c r="Q32" s="10" cm="1">
        <f t="array" ref="Q32">IF($H32 &gt;= $B$12 - 1, 0, SUMPRODUCT(I33:I$54*L33:L$54, $H33:$H$54 - $H32) / L32 /N32) / (1 + $B$10)</f>
        <v>3.7830183051200259</v>
      </c>
      <c r="R32" s="10" cm="1">
        <f t="array" ref="R32">SUMPRODUCT(J33:J$54*L33:L$54, $H33:$H$54 - $H32) / L32 /O32 / (1 + $B$10)</f>
        <v>11.223105588024445</v>
      </c>
      <c r="S32" s="10" cm="1">
        <f t="array" ref="S32">SUMPRODUCT(K33:K$54*M33:M$54, $H33:$H$54 - $H32) / M32 /P32 / (1 + $B$10)</f>
        <v>10.495548450861394</v>
      </c>
      <c r="T32" s="10">
        <f t="shared" si="36"/>
        <v>0</v>
      </c>
      <c r="U32" s="10">
        <f t="shared" si="37"/>
        <v>250</v>
      </c>
      <c r="V32" s="10">
        <f t="shared" si="18"/>
        <v>-1368.6159981368273</v>
      </c>
      <c r="W32">
        <f t="shared" si="42"/>
        <v>10122.235741436965</v>
      </c>
      <c r="X32" s="10">
        <f t="shared" si="19"/>
        <v>8753.619743300138</v>
      </c>
      <c r="Y32" s="10">
        <f t="shared" si="2"/>
        <v>1827.5369595676709</v>
      </c>
      <c r="Z32">
        <f t="shared" si="3"/>
        <v>1218.357973045114</v>
      </c>
      <c r="AA32" s="10">
        <f t="shared" si="4"/>
        <v>373.70842007177816</v>
      </c>
      <c r="AB32" s="10">
        <f t="shared" si="5"/>
        <v>1453.8285394958928</v>
      </c>
      <c r="AC32" s="10">
        <f t="shared" si="6"/>
        <v>6.7860702844611061E-4</v>
      </c>
      <c r="AD32" s="10">
        <f t="shared" si="7"/>
        <v>4.3999868436558833E-4</v>
      </c>
      <c r="AE32">
        <f t="shared" si="20"/>
        <v>-2504.4716270767694</v>
      </c>
      <c r="AF32" s="10">
        <f t="shared" si="8"/>
        <v>-1910.0404222785555</v>
      </c>
      <c r="AG32" s="10">
        <f t="shared" si="21"/>
        <v>-2130.7625283979628</v>
      </c>
      <c r="AH32" s="10">
        <f t="shared" si="22"/>
        <v>-456.21144278397833</v>
      </c>
      <c r="AI32">
        <f t="shared" si="9"/>
        <v>5403.4689773457649</v>
      </c>
      <c r="AJ32">
        <f t="shared" si="10"/>
        <v>1350.8672443364412</v>
      </c>
      <c r="AK32" s="10">
        <f t="shared" si="11"/>
        <v>1999.2835216179319</v>
      </c>
      <c r="AL32" s="4">
        <f t="shared" si="23"/>
        <v>0.61728395061728403</v>
      </c>
      <c r="AM32">
        <f t="shared" si="12"/>
        <v>4185.1110043006511</v>
      </c>
      <c r="AN32" s="10">
        <f t="shared" si="24"/>
        <v>3481.629772734404</v>
      </c>
      <c r="AO32" s="10">
        <f t="shared" si="24"/>
        <v>2455.4949644019102</v>
      </c>
      <c r="AP32" s="10">
        <f t="shared" si="25"/>
        <v>5937.1247371363143</v>
      </c>
      <c r="AQ32" s="9">
        <f t="shared" si="26"/>
        <v>0.58641681401049983</v>
      </c>
      <c r="AR32" s="9">
        <f t="shared" si="27"/>
        <v>0.41358318598950011</v>
      </c>
      <c r="AS32">
        <f t="shared" si="39"/>
        <v>4185.1110043006511</v>
      </c>
      <c r="AT32">
        <f t="shared" si="40"/>
        <v>3481.6297727344036</v>
      </c>
      <c r="AU32">
        <f t="shared" si="41"/>
        <v>2455.4949644019107</v>
      </c>
      <c r="AV32">
        <f t="shared" si="31"/>
        <v>0.41345717598417908</v>
      </c>
      <c r="AW32">
        <f t="shared" si="32"/>
        <v>0.34395857414007897</v>
      </c>
      <c r="AX32">
        <f t="shared" si="33"/>
        <v>0.24258424987574193</v>
      </c>
      <c r="AY32" s="3">
        <f t="shared" si="13"/>
        <v>3.9977872780767955E-2</v>
      </c>
      <c r="AZ32">
        <f t="shared" si="14"/>
        <v>9.371840521952151E-3</v>
      </c>
      <c r="BA32" s="11">
        <f t="shared" si="34"/>
        <v>3.5291952519791878E-2</v>
      </c>
    </row>
    <row r="33" spans="1:53" x14ac:dyDescent="0.2">
      <c r="A33" t="s">
        <v>44</v>
      </c>
      <c r="B33" s="4">
        <f>SQRT(B30^2 * C15^2 + B31^2 * C16^2 + 2 * B30 * B31 * D15 * C15 * C16)</f>
        <v>0.11453071182271281</v>
      </c>
      <c r="H33" s="10">
        <f t="shared" si="35"/>
        <v>29</v>
      </c>
      <c r="I33">
        <f t="shared" si="15"/>
        <v>500</v>
      </c>
      <c r="J33">
        <f t="shared" si="16"/>
        <v>0</v>
      </c>
      <c r="K33">
        <f t="shared" si="17"/>
        <v>-250</v>
      </c>
      <c r="L33" s="9">
        <f t="shared" si="0"/>
        <v>0.35856433775893076</v>
      </c>
      <c r="M33" s="11">
        <f t="shared" si="1"/>
        <v>0.56311230675951029</v>
      </c>
      <c r="N33" s="10">
        <f>SUMPRODUCT(I34:I$54, L34:L$54) / L33</f>
        <v>2655.5471501868451</v>
      </c>
      <c r="O33" s="10">
        <f>SUMPRODUCT(J34:J$54, M34:M$54) / M33</f>
        <v>1.1409778270679326E-3</v>
      </c>
      <c r="P33" s="10">
        <f>SUMPRODUCT(K34:K$54, M34:M$54) / M33</f>
        <v>-4252.8022903424308</v>
      </c>
      <c r="Q33" s="10" cm="1">
        <f t="array" ref="Q33">IF($H33 &gt;= $B$12 - 1, 0, SUMPRODUCT(I34:I$54*L34:L$54, $H34:$H$54 - $H33) / L33 /N33) / (1 + $B$10)</f>
        <v>3.3303189342919937</v>
      </c>
      <c r="R33" s="10" cm="1">
        <f t="array" ref="R33">SUMPRODUCT(J34:J$54*L34:L$54, $H34:$H$54 - $H33) / L33 /O33 / (1 + $B$10)</f>
        <v>10.604395093954571</v>
      </c>
      <c r="S33" s="10" cm="1">
        <f t="array" ref="S33">SUMPRODUCT(K34:K$54*M34:M$54, $H34:$H$54 - $H33) / M33 /P33 / (1 + $B$10)</f>
        <v>10.074502558202274</v>
      </c>
      <c r="T33" s="10">
        <f t="shared" si="36"/>
        <v>0</v>
      </c>
      <c r="U33" s="10">
        <f t="shared" si="37"/>
        <v>250</v>
      </c>
      <c r="V33" s="10">
        <f t="shared" si="18"/>
        <v>-1597.2539991777585</v>
      </c>
      <c r="W33">
        <f t="shared" si="42"/>
        <v>10729.469204617899</v>
      </c>
      <c r="X33" s="10">
        <f>V33 + W33</f>
        <v>9132.2152054401413</v>
      </c>
      <c r="Y33" s="10">
        <f t="shared" si="2"/>
        <v>1593.328290112107</v>
      </c>
      <c r="Z33">
        <f t="shared" si="3"/>
        <v>1062.2188600747381</v>
      </c>
      <c r="AA33" s="10">
        <f t="shared" si="4"/>
        <v>286.82656070829387</v>
      </c>
      <c r="AB33" s="10">
        <f t="shared" si="5"/>
        <v>1306.501729403813</v>
      </c>
      <c r="AC33" s="10">
        <f t="shared" si="6"/>
        <v>6.5402052279298008E-4</v>
      </c>
      <c r="AD33" s="10">
        <f t="shared" si="7"/>
        <v>4.8695730427495256E-4</v>
      </c>
      <c r="AE33">
        <f t="shared" si="20"/>
        <v>-2315.938786680179</v>
      </c>
      <c r="AF33" s="10">
        <f t="shared" si="8"/>
        <v>-1936.8635036622518</v>
      </c>
      <c r="AG33" s="10">
        <f t="shared" si="21"/>
        <v>-2029.1115719513623</v>
      </c>
      <c r="AH33" s="10">
        <f t="shared" si="22"/>
        <v>-630.36128730113455</v>
      </c>
      <c r="AI33">
        <f t="shared" si="9"/>
        <v>5637.1698799013229</v>
      </c>
      <c r="AJ33">
        <f t="shared" si="10"/>
        <v>1409.2924699753307</v>
      </c>
      <c r="AK33" s="10">
        <f t="shared" si="11"/>
        <v>2085.7528555634876</v>
      </c>
      <c r="AL33" s="4">
        <f t="shared" si="23"/>
        <v>0.61728395061728403</v>
      </c>
      <c r="AM33">
        <f t="shared" si="12"/>
        <v>4574.9510198265853</v>
      </c>
      <c r="AN33" s="10">
        <f t="shared" si="24"/>
        <v>3438.404041926693</v>
      </c>
      <c r="AO33" s="10">
        <f t="shared" si="24"/>
        <v>2716.1141428646224</v>
      </c>
      <c r="AP33" s="10">
        <f t="shared" si="25"/>
        <v>6154.5181847913154</v>
      </c>
      <c r="AQ33" s="9">
        <f t="shared" si="26"/>
        <v>0.55867964618635391</v>
      </c>
      <c r="AR33" s="9">
        <f t="shared" si="27"/>
        <v>0.44132035381364615</v>
      </c>
      <c r="AS33">
        <f t="shared" si="39"/>
        <v>4574.9510198265853</v>
      </c>
      <c r="AT33">
        <f t="shared" si="40"/>
        <v>3438.404041926693</v>
      </c>
      <c r="AU33">
        <f t="shared" si="41"/>
        <v>2716.1141428646206</v>
      </c>
      <c r="AV33">
        <f t="shared" si="31"/>
        <v>0.42639117859227871</v>
      </c>
      <c r="AW33">
        <f t="shared" si="32"/>
        <v>0.32046357339343728</v>
      </c>
      <c r="AX33">
        <f t="shared" si="33"/>
        <v>0.25314524801428401</v>
      </c>
      <c r="AY33" s="3">
        <f t="shared" si="13"/>
        <v>4.0260282877625522E-2</v>
      </c>
      <c r="AZ33">
        <f t="shared" si="14"/>
        <v>9.2180053853302725E-3</v>
      </c>
      <c r="BA33" s="11">
        <f t="shared" si="34"/>
        <v>3.5651280184960388E-2</v>
      </c>
    </row>
    <row r="34" spans="1:53" x14ac:dyDescent="0.2">
      <c r="A34" t="s">
        <v>45</v>
      </c>
      <c r="B34" s="14">
        <f>B32 - 1/2 * B33 ^ 2</f>
        <v>3.9675925925925927E-2</v>
      </c>
      <c r="H34" s="10">
        <f t="shared" si="35"/>
        <v>30</v>
      </c>
      <c r="I34">
        <f t="shared" si="15"/>
        <v>500</v>
      </c>
      <c r="J34">
        <f t="shared" si="16"/>
        <v>0</v>
      </c>
      <c r="K34">
        <f t="shared" si="17"/>
        <v>-250</v>
      </c>
      <c r="L34" s="9">
        <f t="shared" si="0"/>
        <v>0.3461045731263811</v>
      </c>
      <c r="M34" s="11">
        <f t="shared" si="1"/>
        <v>0.55207088897991197</v>
      </c>
      <c r="N34" s="10">
        <f>SUMPRODUCT(I35:I$54, L35:L$54) / L34</f>
        <v>2251.1468475935712</v>
      </c>
      <c r="O34" s="10">
        <f>SUMPRODUCT(J35:J$54, M35:M$54) / M34</f>
        <v>1.1637973836092915E-3</v>
      </c>
      <c r="P34" s="10">
        <f>SUMPRODUCT(K35:K$54, M35:M$54) / M34</f>
        <v>-4087.8583361492797</v>
      </c>
      <c r="Q34" s="10" cm="1">
        <f t="array" ref="Q34">IF($H34 &gt;= $B$12 - 1, 0, SUMPRODUCT(I35:I$54*L35:L$54, $H35:$H$54 - $H34) / L34 /N34) / (1 + $B$10)</f>
        <v>2.8718666899545622</v>
      </c>
      <c r="R34" s="10" cm="1">
        <f t="array" ref="R34">SUMPRODUCT(J35:J$54*L35:L$54, $H35:$H$54 - $H34) / L34 /O34 / (1 + $B$10)</f>
        <v>9.9635125261082784</v>
      </c>
      <c r="S34" s="10" cm="1">
        <f t="array" ref="S34">SUMPRODUCT(K35:K$54*M35:M$54, $H35:$H$54 - $H34) / M34 /P34 / (1 + $B$10)</f>
        <v>9.6502763477545237</v>
      </c>
      <c r="T34" s="10">
        <f t="shared" si="36"/>
        <v>0</v>
      </c>
      <c r="U34" s="10">
        <f t="shared" si="37"/>
        <v>250</v>
      </c>
      <c r="V34" s="10">
        <f t="shared" si="18"/>
        <v>-1836.710324758325</v>
      </c>
      <c r="W34">
        <f t="shared" si="42"/>
        <v>11361.988517467636</v>
      </c>
      <c r="X34" s="10">
        <f t="shared" ref="X34:X35" si="43">V34 + W34</f>
        <v>9525.278192709311</v>
      </c>
      <c r="Y34" s="10">
        <f t="shared" si="2"/>
        <v>1350.6881085561427</v>
      </c>
      <c r="Z34">
        <f t="shared" si="3"/>
        <v>900.45873903742859</v>
      </c>
      <c r="AA34" s="10">
        <f t="shared" si="4"/>
        <v>209.67546959351989</v>
      </c>
      <c r="AB34" s="10">
        <f t="shared" si="5"/>
        <v>1141.0126389626228</v>
      </c>
      <c r="AC34" s="10">
        <f t="shared" si="6"/>
        <v>6.2678431402395758E-4</v>
      </c>
      <c r="AD34" s="10">
        <f t="shared" si="7"/>
        <v>5.3701306958533394E-4</v>
      </c>
      <c r="AE34">
        <f t="shared" si="20"/>
        <v>-2132.3763575304083</v>
      </c>
      <c r="AF34" s="10">
        <f t="shared" si="8"/>
        <v>-1955.4819786188714</v>
      </c>
      <c r="AG34" s="10">
        <f t="shared" si="21"/>
        <v>-1922.7002611525745</v>
      </c>
      <c r="AH34" s="10">
        <f t="shared" si="22"/>
        <v>-814.46880264317906</v>
      </c>
      <c r="AI34">
        <f t="shared" si="9"/>
        <v>5879.8013535242671</v>
      </c>
      <c r="AJ34">
        <f t="shared" si="10"/>
        <v>1469.9503383810668</v>
      </c>
      <c r="AK34" s="10">
        <f t="shared" si="11"/>
        <v>2175.5265008039769</v>
      </c>
      <c r="AL34" s="4">
        <f t="shared" si="23"/>
        <v>0.61728395061728403</v>
      </c>
      <c r="AM34">
        <f t="shared" si="12"/>
        <v>4979.342614486839</v>
      </c>
      <c r="AN34" s="10">
        <f t="shared" si="24"/>
        <v>3392.6505995336411</v>
      </c>
      <c r="AO34" s="10">
        <f t="shared" si="24"/>
        <v>2989.9953034471559</v>
      </c>
      <c r="AP34" s="10">
        <f t="shared" si="25"/>
        <v>6382.6459029807975</v>
      </c>
      <c r="AQ34" s="9">
        <f t="shared" si="26"/>
        <v>0.53154297623642555</v>
      </c>
      <c r="AR34" s="9">
        <f t="shared" si="27"/>
        <v>0.46845702376357434</v>
      </c>
      <c r="AS34">
        <f t="shared" si="39"/>
        <v>4979.342614486839</v>
      </c>
      <c r="AT34">
        <f t="shared" si="40"/>
        <v>3392.6505995336411</v>
      </c>
      <c r="AU34">
        <f t="shared" si="41"/>
        <v>2989.9953034471564</v>
      </c>
      <c r="AV34">
        <f t="shared" si="31"/>
        <v>0.43824570028668153</v>
      </c>
      <c r="AW34">
        <f t="shared" si="32"/>
        <v>0.2985965523832263</v>
      </c>
      <c r="AX34">
        <f t="shared" si="33"/>
        <v>0.26315774733009212</v>
      </c>
      <c r="AY34" s="3">
        <f t="shared" si="13"/>
        <v>4.0515793535299521E-2</v>
      </c>
      <c r="AZ34">
        <f t="shared" si="14"/>
        <v>9.1115019152431705E-3</v>
      </c>
      <c r="BA34" s="11">
        <f t="shared" si="34"/>
        <v>3.5960042577677938E-2</v>
      </c>
    </row>
    <row r="35" spans="1:53" x14ac:dyDescent="0.2">
      <c r="H35" s="10">
        <f t="shared" si="35"/>
        <v>31</v>
      </c>
      <c r="I35">
        <f t="shared" si="15"/>
        <v>500</v>
      </c>
      <c r="J35">
        <f t="shared" si="16"/>
        <v>0</v>
      </c>
      <c r="K35">
        <f t="shared" si="17"/>
        <v>-250</v>
      </c>
      <c r="L35" s="9">
        <f t="shared" si="0"/>
        <v>0.33407777328801258</v>
      </c>
      <c r="M35" s="11">
        <f t="shared" si="1"/>
        <v>0.54124596958814919</v>
      </c>
      <c r="N35" s="10">
        <f>SUMPRODUCT(I36:I$54, L36:L$54) / L35</f>
        <v>1832.18813410694</v>
      </c>
      <c r="O35" s="10">
        <f>SUMPRODUCT(J36:J$54, M36:M$54) / M35</f>
        <v>1.1870733312814769E-3</v>
      </c>
      <c r="P35" s="10">
        <f>SUMPRODUCT(K36:K$54, M36:M$54) / M35</f>
        <v>-3919.6155028722642</v>
      </c>
      <c r="Q35" s="10" cm="1">
        <f t="array" ref="Q35">IF($H35 &gt;= $B$12 - 1, 0, SUMPRODUCT(I36:I$54*L36:L$54, $H36:$H$54 - $H35) / L35 /N35) / (1 + $B$10)</f>
        <v>2.4076536573534684</v>
      </c>
      <c r="R35" s="10" cm="1">
        <f t="array" ref="R35">SUMPRODUCT(J36:J$54*L36:L$54, $H36:$H$54 - $H35) / L35 /O35 / (1 + $B$10)</f>
        <v>9.2999145294283228</v>
      </c>
      <c r="S35" s="10" cm="1">
        <f t="array" ref="S35">SUMPRODUCT(K36:K$54*M36:M$54, $H36:$H$54 - $H35) / M35 /P35 / (1 + $B$10)</f>
        <v>9.2228647182252992</v>
      </c>
      <c r="T35" s="10">
        <f t="shared" si="36"/>
        <v>0</v>
      </c>
      <c r="U35" s="10">
        <f t="shared" si="37"/>
        <v>250</v>
      </c>
      <c r="V35" s="10">
        <f t="shared" si="18"/>
        <v>-2087.426181691993</v>
      </c>
      <c r="W35">
        <f t="shared" si="42"/>
        <v>12020.566108322862</v>
      </c>
      <c r="X35" s="10">
        <f t="shared" si="43"/>
        <v>9933.139926630869</v>
      </c>
      <c r="Y35" s="10">
        <f t="shared" si="2"/>
        <v>1099.312880464164</v>
      </c>
      <c r="Z35">
        <f t="shared" si="3"/>
        <v>732.87525364277599</v>
      </c>
      <c r="AA35" s="10">
        <f t="shared" si="4"/>
        <v>143.06836093109843</v>
      </c>
      <c r="AB35" s="10">
        <f t="shared" si="5"/>
        <v>956.24451953306561</v>
      </c>
      <c r="AC35" s="10">
        <f t="shared" si="6"/>
        <v>5.9673948762602646E-4</v>
      </c>
      <c r="AD35" s="10">
        <f t="shared" si="7"/>
        <v>5.9033384365545047E-4</v>
      </c>
      <c r="AE35">
        <f t="shared" si="20"/>
        <v>-1954.0585692134873</v>
      </c>
      <c r="AF35" s="10">
        <f t="shared" si="8"/>
        <v>-1965.5569336587769</v>
      </c>
      <c r="AG35" s="10">
        <f t="shared" si="21"/>
        <v>-1810.9896115429012</v>
      </c>
      <c r="AH35" s="10">
        <f t="shared" si="22"/>
        <v>-1009.3118237918677</v>
      </c>
      <c r="AI35">
        <f t="shared" si="9"/>
        <v>6131.5678559449816</v>
      </c>
      <c r="AJ35">
        <f t="shared" si="10"/>
        <v>1532.8919639862454</v>
      </c>
      <c r="AK35" s="10">
        <f t="shared" si="11"/>
        <v>2268.6801066996422</v>
      </c>
      <c r="AL35" s="4">
        <f t="shared" si="23"/>
        <v>0.61728395061728403</v>
      </c>
      <c r="AM35">
        <f t="shared" si="12"/>
        <v>5398.6926023022061</v>
      </c>
      <c r="AN35" s="10">
        <f t="shared" si="24"/>
        <v>3343.8815755291466</v>
      </c>
      <c r="AO35" s="10">
        <f t="shared" si="24"/>
        <v>3277.9919304915102</v>
      </c>
      <c r="AP35" s="10">
        <f t="shared" si="25"/>
        <v>6621.8735060206564</v>
      </c>
      <c r="AQ35" s="9">
        <f t="shared" si="26"/>
        <v>0.50497515129047166</v>
      </c>
      <c r="AR35" s="9">
        <f t="shared" si="27"/>
        <v>0.49502484870952845</v>
      </c>
      <c r="AS35">
        <f t="shared" si="39"/>
        <v>5398.6926023022061</v>
      </c>
      <c r="AT35">
        <f t="shared" si="40"/>
        <v>3343.8815755291471</v>
      </c>
      <c r="AU35">
        <f t="shared" si="41"/>
        <v>3277.9919304915093</v>
      </c>
      <c r="AV35">
        <f t="shared" si="31"/>
        <v>0.4491213270366885</v>
      </c>
      <c r="AW35">
        <f t="shared" si="32"/>
        <v>0.27818004122234252</v>
      </c>
      <c r="AX35">
        <f t="shared" si="33"/>
        <v>0.27269863174096903</v>
      </c>
      <c r="AY35" s="3">
        <f t="shared" si="13"/>
        <v>4.0746653493690971E-2</v>
      </c>
      <c r="AZ35">
        <f t="shared" si="14"/>
        <v>9.0426488961705929E-3</v>
      </c>
      <c r="BA35" s="11">
        <f t="shared" si="34"/>
        <v>3.6225329045605673E-2</v>
      </c>
    </row>
    <row r="36" spans="1:53" x14ac:dyDescent="0.2">
      <c r="H36" s="10">
        <f t="shared" si="35"/>
        <v>32</v>
      </c>
      <c r="I36">
        <f t="shared" si="15"/>
        <v>500</v>
      </c>
      <c r="J36">
        <f t="shared" si="16"/>
        <v>0</v>
      </c>
      <c r="K36">
        <f t="shared" si="17"/>
        <v>-250</v>
      </c>
      <c r="L36" s="9">
        <f t="shared" si="0"/>
        <v>0.32246889313514726</v>
      </c>
      <c r="M36" s="11">
        <f t="shared" si="1"/>
        <v>0.53063330351779314</v>
      </c>
      <c r="N36" s="10">
        <f>SUMPRODUCT(I37:I$54, L37:L$54) / L36</f>
        <v>1398.14690693479</v>
      </c>
      <c r="O36" s="10">
        <f>SUMPRODUCT(J37:J$54, M37:M$54) / M36</f>
        <v>1.2108147979071069E-3</v>
      </c>
      <c r="P36" s="10">
        <f>SUMPRODUCT(K37:K$54, M37:M$54) / M36</f>
        <v>-3748.0078129297103</v>
      </c>
      <c r="Q36" s="10" cm="1">
        <f t="array" ref="Q36">IF($H36 &gt;= $B$12 - 1, 0, SUMPRODUCT(I37:I$54*L37:L$54, $H37:$H$54 - $H36) / L36 /N36) / (1 + $B$10)</f>
        <v>1.9376733511380066</v>
      </c>
      <c r="R36" s="10" cm="1">
        <f t="array" ref="R36">SUMPRODUCT(J37:J$54*L37:L$54, $H37:$H$54 - $H36) / L36 /O36 / (1 + $B$10)</f>
        <v>8.6130461580671618</v>
      </c>
      <c r="S36" s="10" cm="1">
        <f t="array" ref="S36">SUMPRODUCT(K37:K$54*M37:M$54, $H37:$H$54 - $H36) / M36 /P36 / (1 + $B$10)</f>
        <v>8.7922628081256526</v>
      </c>
      <c r="T36" s="10">
        <f t="shared" si="36"/>
        <v>0</v>
      </c>
      <c r="U36" s="10">
        <f t="shared" si="37"/>
        <v>250</v>
      </c>
      <c r="V36" s="10">
        <f t="shared" si="18"/>
        <v>-2349.8596951801223</v>
      </c>
      <c r="W36">
        <f t="shared" si="42"/>
        <v>12706.015070911313</v>
      </c>
      <c r="X36" s="10">
        <f>V36 + W36</f>
        <v>10356.15537573119</v>
      </c>
      <c r="Y36" s="10">
        <f t="shared" si="2"/>
        <v>838.88814416087394</v>
      </c>
      <c r="Z36">
        <f t="shared" si="3"/>
        <v>559.25876277391603</v>
      </c>
      <c r="AA36" s="10">
        <f t="shared" si="4"/>
        <v>87.86438927168345</v>
      </c>
      <c r="AB36" s="10">
        <f t="shared" si="5"/>
        <v>751.02375488919051</v>
      </c>
      <c r="AC36" s="10">
        <f t="shared" si="6"/>
        <v>5.6371912125646891E-4</v>
      </c>
      <c r="AD36" s="10">
        <f t="shared" si="7"/>
        <v>6.4709567665063796E-4</v>
      </c>
      <c r="AE36">
        <f t="shared" si="20"/>
        <v>-1781.2686323343924</v>
      </c>
      <c r="AF36" s="10">
        <f t="shared" si="8"/>
        <v>-1966.739180595318</v>
      </c>
      <c r="AG36" s="10">
        <f t="shared" si="21"/>
        <v>-1693.4036793435876</v>
      </c>
      <c r="AH36" s="10">
        <f t="shared" si="22"/>
        <v>-1215.7147786104508</v>
      </c>
      <c r="AI36">
        <f t="shared" si="9"/>
        <v>6392.6885035377727</v>
      </c>
      <c r="AJ36">
        <f t="shared" si="10"/>
        <v>1598.1721258844432</v>
      </c>
      <c r="AK36" s="10">
        <f t="shared" si="11"/>
        <v>2365.2947463089745</v>
      </c>
      <c r="AL36" s="4">
        <f t="shared" si="23"/>
        <v>0.61728395061728403</v>
      </c>
      <c r="AM36">
        <f t="shared" si="12"/>
        <v>5833.4297407638569</v>
      </c>
      <c r="AN36" s="10">
        <f t="shared" si="24"/>
        <v>3291.5758052280307</v>
      </c>
      <c r="AO36" s="10">
        <f t="shared" si="24"/>
        <v>3581.0095249194255</v>
      </c>
      <c r="AP36" s="10">
        <f t="shared" si="25"/>
        <v>6872.5853301474563</v>
      </c>
      <c r="AQ36" s="9">
        <f t="shared" si="26"/>
        <v>0.47894287915045902</v>
      </c>
      <c r="AR36" s="9">
        <f t="shared" si="27"/>
        <v>0.52105712084954092</v>
      </c>
      <c r="AS36">
        <f t="shared" si="39"/>
        <v>5833.4297407638569</v>
      </c>
      <c r="AT36">
        <f t="shared" si="40"/>
        <v>3291.5758052280307</v>
      </c>
      <c r="AU36">
        <f t="shared" si="41"/>
        <v>3581.0095249194255</v>
      </c>
      <c r="AV36">
        <f t="shared" si="31"/>
        <v>0.45910773033149455</v>
      </c>
      <c r="AW36">
        <f t="shared" si="32"/>
        <v>0.2590565009452605</v>
      </c>
      <c r="AX36">
        <f t="shared" si="33"/>
        <v>0.28183576872324495</v>
      </c>
      <c r="AY36" s="3">
        <f t="shared" si="13"/>
        <v>4.0954874222712392E-2</v>
      </c>
      <c r="AZ36">
        <f t="shared" si="14"/>
        <v>9.0036417909212726E-3</v>
      </c>
      <c r="BA36" s="11">
        <f t="shared" si="34"/>
        <v>3.6453053327251753E-2</v>
      </c>
    </row>
    <row r="37" spans="1:53" x14ac:dyDescent="0.2">
      <c r="H37" s="10">
        <f t="shared" si="35"/>
        <v>33</v>
      </c>
      <c r="I37">
        <f t="shared" si="15"/>
        <v>500</v>
      </c>
      <c r="J37">
        <f t="shared" si="16"/>
        <v>0</v>
      </c>
      <c r="K37">
        <f t="shared" si="17"/>
        <v>-250</v>
      </c>
      <c r="L37" s="9">
        <f t="shared" si="0"/>
        <v>0.31126341036211125</v>
      </c>
      <c r="M37" s="11">
        <f t="shared" si="1"/>
        <v>0.52022872893901284</v>
      </c>
      <c r="N37" s="10">
        <f>SUMPRODUCT(I38:I$54, L38:L$54) / L37</f>
        <v>948.48019558444241</v>
      </c>
      <c r="O37" s="10">
        <f>SUMPRODUCT(J38:J$54, M38:M$54) / M37</f>
        <v>1.2350310938652491E-3</v>
      </c>
      <c r="P37" s="10">
        <f>SUMPRODUCT(K38:K$54, M38:M$54) / M37</f>
        <v>-3572.9679691883048</v>
      </c>
      <c r="Q37" s="10" cm="1">
        <f t="array" ref="Q37">IF($H37 &gt;= $B$12 - 1, 0, SUMPRODUCT(I38:I$54*L38:L$54, $H38:$H$54 - $H37) / L37 /N37) / (1 + $B$10)</f>
        <v>1.4619207211371779</v>
      </c>
      <c r="R37" s="10" cm="1">
        <f t="array" ref="R37">SUMPRODUCT(J38:J$54*L38:L$54, $H38:$H$54 - $H37) / L37 /O37 / (1 + $B$10)</f>
        <v>7.9023406454519076</v>
      </c>
      <c r="S37" s="10" cm="1">
        <f t="array" ref="S37">SUMPRODUCT(K38:K$54*M38:M$54, $H38:$H$54 - $H37) / M37 /P37 / (1 + $B$10)</f>
        <v>8.3584659971090645</v>
      </c>
      <c r="T37" s="10">
        <f t="shared" si="36"/>
        <v>0</v>
      </c>
      <c r="U37" s="10">
        <f t="shared" si="37"/>
        <v>250</v>
      </c>
      <c r="V37" s="10">
        <f t="shared" si="18"/>
        <v>-2624.4865385727685</v>
      </c>
      <c r="W37">
        <f t="shared" si="42"/>
        <v>13419.188115868108</v>
      </c>
      <c r="X37" s="10">
        <f t="shared" ref="X37:X50" si="44">V37 + W37</f>
        <v>10794.70157729534</v>
      </c>
      <c r="Y37" s="10">
        <f t="shared" si="2"/>
        <v>569.08811735066547</v>
      </c>
      <c r="Z37">
        <f t="shared" si="3"/>
        <v>379.392078233777</v>
      </c>
      <c r="AA37" s="10">
        <f t="shared" si="4"/>
        <v>44.970903292318035</v>
      </c>
      <c r="AB37" s="10">
        <f t="shared" si="5"/>
        <v>524.11721405834749</v>
      </c>
      <c r="AC37" s="10">
        <f t="shared" si="6"/>
        <v>5.2754791413233987E-4</v>
      </c>
      <c r="AD37" s="10">
        <f t="shared" si="7"/>
        <v>7.0748317973290918E-4</v>
      </c>
      <c r="AE37">
        <f t="shared" si="20"/>
        <v>-1614.2989880659607</v>
      </c>
      <c r="AF37" s="10">
        <f t="shared" si="8"/>
        <v>-1958.6689811223441</v>
      </c>
      <c r="AG37" s="10">
        <f t="shared" si="21"/>
        <v>-1569.3275572257285</v>
      </c>
      <c r="AH37" s="10">
        <f t="shared" si="22"/>
        <v>-1434.5510595808169</v>
      </c>
      <c r="AI37">
        <f t="shared" si="9"/>
        <v>6663.3960353674947</v>
      </c>
      <c r="AJ37">
        <f t="shared" si="10"/>
        <v>1665.8490088418737</v>
      </c>
      <c r="AK37" s="10">
        <f t="shared" si="11"/>
        <v>2465.4565330859714</v>
      </c>
      <c r="AL37" s="4">
        <f t="shared" si="23"/>
        <v>0.61728395061728403</v>
      </c>
      <c r="AM37">
        <f t="shared" si="12"/>
        <v>6284.0039571337174</v>
      </c>
      <c r="AN37" s="10">
        <f t="shared" si="24"/>
        <v>3235.1765660676019</v>
      </c>
      <c r="AO37" s="10">
        <f t="shared" si="24"/>
        <v>3900.0075926667882</v>
      </c>
      <c r="AP37" s="10">
        <f t="shared" si="25"/>
        <v>7135.1841587343897</v>
      </c>
      <c r="AQ37" s="9">
        <f t="shared" si="26"/>
        <v>0.4534117822463386</v>
      </c>
      <c r="AR37" s="9">
        <f t="shared" si="27"/>
        <v>0.5465882177536614</v>
      </c>
      <c r="AS37">
        <f t="shared" si="39"/>
        <v>6284.0039571337174</v>
      </c>
      <c r="AT37">
        <f t="shared" si="40"/>
        <v>3235.1765660676019</v>
      </c>
      <c r="AU37">
        <f t="shared" si="41"/>
        <v>3900.0075926667887</v>
      </c>
      <c r="AV37">
        <f t="shared" si="31"/>
        <v>0.4682849590358541</v>
      </c>
      <c r="AW37">
        <f t="shared" si="32"/>
        <v>0.24108586437073831</v>
      </c>
      <c r="AX37">
        <f t="shared" si="33"/>
        <v>0.29062917659340759</v>
      </c>
      <c r="AY37" s="3">
        <f t="shared" si="13"/>
        <v>4.1142257005141548E-2</v>
      </c>
      <c r="AZ37">
        <f t="shared" si="14"/>
        <v>8.9881875782185615E-3</v>
      </c>
      <c r="BA37" s="11">
        <f t="shared" si="34"/>
        <v>3.6648163216032266E-2</v>
      </c>
    </row>
    <row r="38" spans="1:53" x14ac:dyDescent="0.2">
      <c r="H38" s="10">
        <f t="shared" si="35"/>
        <v>34</v>
      </c>
      <c r="I38">
        <f t="shared" si="15"/>
        <v>500</v>
      </c>
      <c r="J38">
        <f t="shared" si="16"/>
        <v>0</v>
      </c>
      <c r="K38">
        <f t="shared" si="17"/>
        <v>-250</v>
      </c>
      <c r="L38" s="9">
        <f t="shared" si="0"/>
        <v>0.30044730729933516</v>
      </c>
      <c r="M38" s="11">
        <f t="shared" si="1"/>
        <v>0.51002816562648323</v>
      </c>
      <c r="N38" s="10">
        <f>SUMPRODUCT(I39:I$54, L39:L$54) / L38</f>
        <v>482.62548262548256</v>
      </c>
      <c r="O38" s="10">
        <f>SUMPRODUCT(J39:J$54, M39:M$54) / M38</f>
        <v>1.259731715742554E-3</v>
      </c>
      <c r="P38" s="10">
        <f>SUMPRODUCT(K39:K$54, M39:M$54) / M38</f>
        <v>-3394.4273285720706</v>
      </c>
      <c r="Q38" s="10" cm="1">
        <f t="array" ref="Q38">IF($H38 &gt;= $B$12 - 1, 0, SUMPRODUCT(I39:I$54*L39:L$54, $H39:$H$54 - $H38) / L38 /N38) / (1 + $B$10)</f>
        <v>0.98039215686274506</v>
      </c>
      <c r="R38" s="10" cm="1">
        <f t="array" ref="R38">SUMPRODUCT(J39:J$54*L39:L$54, $H39:$H$54 - $H38) / L38 /O38 / (1 + $B$10)</f>
        <v>7.1672191699875274</v>
      </c>
      <c r="S38" s="10" cm="1">
        <f t="array" ref="S38">SUMPRODUCT(K39:K$54*M39:M$54, $H39:$H$54 - $H38) / M38 /P38 / (1 + $B$10)</f>
        <v>7.9214699072457879</v>
      </c>
      <c r="T38" s="10">
        <f t="shared" si="36"/>
        <v>0</v>
      </c>
      <c r="U38" s="10">
        <f t="shared" si="37"/>
        <v>250</v>
      </c>
      <c r="V38" s="10">
        <f t="shared" si="18"/>
        <v>-2911.8005862148721</v>
      </c>
      <c r="W38">
        <f t="shared" si="42"/>
        <v>14160.976712165082</v>
      </c>
      <c r="X38" s="10">
        <f t="shared" si="44"/>
        <v>11249.176125950209</v>
      </c>
      <c r="Y38" s="10">
        <f t="shared" si="2"/>
        <v>289.5752895752895</v>
      </c>
      <c r="Z38">
        <f t="shared" si="3"/>
        <v>193.05019305019303</v>
      </c>
      <c r="AA38" s="10">
        <f t="shared" si="4"/>
        <v>15.345802309236328</v>
      </c>
      <c r="AB38" s="10">
        <f t="shared" si="5"/>
        <v>274.22948726605318</v>
      </c>
      <c r="AC38" s="10">
        <f t="shared" si="6"/>
        <v>4.8804180011412495E-4</v>
      </c>
      <c r="AD38" s="10">
        <f t="shared" si="7"/>
        <v>7.7168991562842908E-4</v>
      </c>
      <c r="AE38">
        <f t="shared" si="20"/>
        <v>-1453.4515640873713</v>
      </c>
      <c r="AF38" s="10">
        <f t="shared" si="8"/>
        <v>-1940.9757644846993</v>
      </c>
      <c r="AG38" s="10">
        <f t="shared" si="21"/>
        <v>-1438.1052737363348</v>
      </c>
      <c r="AH38" s="10">
        <f t="shared" si="22"/>
        <v>-1666.7455055287305</v>
      </c>
      <c r="AI38">
        <f t="shared" si="9"/>
        <v>6943.9358802161796</v>
      </c>
      <c r="AJ38">
        <f t="shared" si="10"/>
        <v>1735.9839700540449</v>
      </c>
      <c r="AK38" s="10">
        <f t="shared" si="11"/>
        <v>2569.2562756799844</v>
      </c>
      <c r="AL38" s="4">
        <f t="shared" si="23"/>
        <v>0.61728395061728403</v>
      </c>
      <c r="AM38">
        <f t="shared" si="12"/>
        <v>6750.8856871659864</v>
      </c>
      <c r="AN38" s="10">
        <f t="shared" si="24"/>
        <v>3174.0892437903794</v>
      </c>
      <c r="AO38" s="10">
        <f t="shared" si="24"/>
        <v>4236.0017812087153</v>
      </c>
      <c r="AP38" s="10">
        <f t="shared" si="25"/>
        <v>7410.0910249990948</v>
      </c>
      <c r="AQ38" s="9">
        <f t="shared" si="26"/>
        <v>0.42834686282288514</v>
      </c>
      <c r="AR38" s="9">
        <f t="shared" si="27"/>
        <v>0.57165313717711486</v>
      </c>
      <c r="AS38">
        <f t="shared" si="39"/>
        <v>6750.8856871659864</v>
      </c>
      <c r="AT38">
        <f t="shared" si="40"/>
        <v>3174.0892437903794</v>
      </c>
      <c r="AU38">
        <f t="shared" si="41"/>
        <v>4236.0017812087162</v>
      </c>
      <c r="AV38">
        <f t="shared" si="31"/>
        <v>0.47672458082404667</v>
      </c>
      <c r="AW38">
        <f t="shared" si="32"/>
        <v>0.22414338419634972</v>
      </c>
      <c r="AX38">
        <f t="shared" si="33"/>
        <v>0.2991320349796035</v>
      </c>
      <c r="AY38" s="3">
        <f t="shared" si="13"/>
        <v>4.131041707492536E-2</v>
      </c>
      <c r="AZ38">
        <f t="shared" si="14"/>
        <v>8.9912132775637164E-3</v>
      </c>
      <c r="BA38" s="11">
        <f t="shared" si="34"/>
        <v>3.68148104361435E-2</v>
      </c>
    </row>
    <row r="39" spans="1:53" x14ac:dyDescent="0.2">
      <c r="H39" s="10">
        <f t="shared" si="35"/>
        <v>35</v>
      </c>
      <c r="I39">
        <f t="shared" si="15"/>
        <v>500</v>
      </c>
      <c r="J39">
        <f t="shared" si="16"/>
        <v>0</v>
      </c>
      <c r="K39">
        <f t="shared" si="17"/>
        <v>-250</v>
      </c>
      <c r="L39" s="9">
        <f t="shared" si="0"/>
        <v>0.29000705337773663</v>
      </c>
      <c r="M39" s="11">
        <f t="shared" si="1"/>
        <v>0.50002761335929735</v>
      </c>
      <c r="N39" s="10">
        <f>SUMPRODUCT(I40:I$54, L40:L$54) / L39</f>
        <v>0</v>
      </c>
      <c r="O39" s="10">
        <f>SUMPRODUCT(J40:J$54, M40:M$54) / M39</f>
        <v>1.284926350057405E-3</v>
      </c>
      <c r="P39" s="10">
        <f>SUMPRODUCT(K40:K$54, M40:M$54) / M39</f>
        <v>-3212.3158751435121</v>
      </c>
      <c r="Q39" s="10" cm="1">
        <f t="array" ref="Q39">IF($H39 &gt;= $B$12 - 1, 0, SUMPRODUCT(I40:I$54*L40:L$54, $H40:$H$54 - $H39) / L39 /N39) / (1 + $B$10)</f>
        <v>0</v>
      </c>
      <c r="R39" s="10" cm="1">
        <f t="array" ref="R39">SUMPRODUCT(J40:J$54*L40:L$54, $H40:$H$54 - $H39) / L39 /O39 / (1 + $B$10)</f>
        <v>6.4070906163182366</v>
      </c>
      <c r="S39" s="10" cm="1">
        <f t="array" ref="S39">SUMPRODUCT(K40:K$54*M40:M$54, $H40:$H$54 - $H39) / M39 /P39 / (1 + $B$10)</f>
        <v>7.4812704042322649</v>
      </c>
      <c r="T39" s="10">
        <f t="shared" si="36"/>
        <v>0</v>
      </c>
      <c r="U39" s="10">
        <f t="shared" si="37"/>
        <v>250</v>
      </c>
      <c r="V39" s="10">
        <f t="shared" si="18"/>
        <v>-3212.3145902171623</v>
      </c>
      <c r="W39">
        <f>W38 * (1+BA38) + U39</f>
        <v>14932.310385414081</v>
      </c>
      <c r="X39" s="10">
        <f t="shared" si="44"/>
        <v>11719.995795196919</v>
      </c>
      <c r="Y39" s="10">
        <f t="shared" si="2"/>
        <v>0</v>
      </c>
      <c r="Z39">
        <f t="shared" si="3"/>
        <v>0</v>
      </c>
      <c r="AA39" s="10">
        <f t="shared" si="4"/>
        <v>0</v>
      </c>
      <c r="AB39" s="10">
        <f t="shared" si="5"/>
        <v>0</v>
      </c>
      <c r="AC39" s="10">
        <f t="shared" si="6"/>
        <v>4.4500754378988332E-4</v>
      </c>
      <c r="AD39" s="10">
        <f t="shared" si="7"/>
        <v>8.3991880626752165E-4</v>
      </c>
      <c r="AE39">
        <f t="shared" si="20"/>
        <v>-1299.0380370679256</v>
      </c>
      <c r="AF39" s="10">
        <f t="shared" si="8"/>
        <v>-1913.2778380755865</v>
      </c>
      <c r="AG39" s="10">
        <f t="shared" si="21"/>
        <v>-1299.0375920603819</v>
      </c>
      <c r="AH39" s="10">
        <f t="shared" si="22"/>
        <v>-1913.2769981567801</v>
      </c>
      <c r="AI39">
        <f t="shared" si="9"/>
        <v>7234.5653056771116</v>
      </c>
      <c r="AJ39">
        <f t="shared" si="10"/>
        <v>1808.6413264192779</v>
      </c>
      <c r="AK39" s="10">
        <f t="shared" si="11"/>
        <v>2676.7891631005295</v>
      </c>
      <c r="AL39" s="4">
        <f t="shared" si="23"/>
        <v>0.61728395061728403</v>
      </c>
      <c r="AM39">
        <f t="shared" si="12"/>
        <v>7234.5653056771116</v>
      </c>
      <c r="AN39" s="10">
        <f t="shared" si="24"/>
        <v>3107.6789184796598</v>
      </c>
      <c r="AO39" s="10">
        <f t="shared" si="24"/>
        <v>4590.0661612573094</v>
      </c>
      <c r="AP39" s="10">
        <f t="shared" si="25"/>
        <v>7697.7450797369693</v>
      </c>
      <c r="AQ39" s="9">
        <f t="shared" si="26"/>
        <v>0.40371289076071204</v>
      </c>
      <c r="AR39" s="9">
        <f t="shared" si="27"/>
        <v>0.59628710923928796</v>
      </c>
      <c r="AS39">
        <f t="shared" si="39"/>
        <v>7234.5653056771116</v>
      </c>
      <c r="AT39">
        <f t="shared" si="40"/>
        <v>3107.6789184796598</v>
      </c>
      <c r="AU39">
        <f t="shared" si="41"/>
        <v>4590.0661612573094</v>
      </c>
      <c r="AV39">
        <f t="shared" si="31"/>
        <v>0.48449068623324715</v>
      </c>
      <c r="AW39">
        <f t="shared" si="32"/>
        <v>0.20811775527484672</v>
      </c>
      <c r="AX39">
        <f t="shared" si="33"/>
        <v>0.30739155849190608</v>
      </c>
      <c r="AY39" s="3">
        <f t="shared" si="13"/>
        <v>4.1460805002078355E-2</v>
      </c>
      <c r="AZ39">
        <f t="shared" si="14"/>
        <v>9.0086328934798812E-3</v>
      </c>
      <c r="BA39" s="11">
        <f t="shared" si="34"/>
        <v>3.6956488555338417E-2</v>
      </c>
    </row>
    <row r="40" spans="1:53" x14ac:dyDescent="0.2">
      <c r="H40" s="10">
        <f t="shared" si="35"/>
        <v>36</v>
      </c>
      <c r="I40">
        <f t="shared" si="15"/>
        <v>0</v>
      </c>
      <c r="J40">
        <f t="shared" si="16"/>
        <v>1E-4</v>
      </c>
      <c r="K40">
        <f t="shared" si="17"/>
        <v>-250</v>
      </c>
      <c r="L40" s="9">
        <f t="shared" si="0"/>
        <v>0.27992958820244851</v>
      </c>
      <c r="M40" s="11">
        <f t="shared" si="1"/>
        <v>0.49022315035225233</v>
      </c>
      <c r="N40" s="10">
        <f>SUMPRODUCT(I41:I$54, L41:L$54) / L40</f>
        <v>0</v>
      </c>
      <c r="O40" s="10">
        <f>SUMPRODUCT(J41:J$54, M41:M$54) / M40</f>
        <v>1.2106248770585527E-3</v>
      </c>
      <c r="P40" s="10">
        <f>SUMPRODUCT(K41:K$54, M41:M$54) / M40</f>
        <v>-3026.5621926463809</v>
      </c>
      <c r="Q40" s="10" cm="1">
        <f t="array" ref="Q40">IF($H40 &gt;= $B$12 - 1, 0, SUMPRODUCT(I41:I$54*L41:L$54, $H41:$H$54 - $H40) / L40 /N40) / (1 + $B$10)</f>
        <v>0</v>
      </c>
      <c r="R40" s="10" cm="1">
        <f t="array" ref="R40">SUMPRODUCT(J41:J$54*L41:L$54, $H41:$H$54 - $H40) / L40 /O40 / (1 + $B$10)</f>
        <v>6.0856860271958615</v>
      </c>
      <c r="S40" s="10" cm="1">
        <f t="array" ref="S40">SUMPRODUCT(K41:K$54*M41:M$54, $H41:$H$54 - $H40) / M40 /P40 / (1 + $B$10)</f>
        <v>7.0378635985350009</v>
      </c>
      <c r="T40" s="10">
        <f t="shared" si="36"/>
        <v>0</v>
      </c>
      <c r="U40" s="10">
        <f t="shared" si="37"/>
        <v>-249.9999</v>
      </c>
      <c r="V40" s="10">
        <f t="shared" si="18"/>
        <v>-3026.5609820215041</v>
      </c>
      <c r="W40">
        <f t="shared" ref="W40:W54" si="45">W39 * (1+BA39) + U40</f>
        <v>15234.156243277397</v>
      </c>
      <c r="X40" s="10">
        <f t="shared" si="44"/>
        <v>12207.595261255894</v>
      </c>
      <c r="Y40" s="10">
        <f t="shared" si="2"/>
        <v>0</v>
      </c>
      <c r="Z40">
        <f t="shared" si="3"/>
        <v>0</v>
      </c>
      <c r="AA40" s="10">
        <f t="shared" si="4"/>
        <v>0</v>
      </c>
      <c r="AB40" s="10">
        <f t="shared" si="5"/>
        <v>0</v>
      </c>
      <c r="AC40" s="10">
        <f t="shared" si="6"/>
        <v>3.9824231883734822E-4</v>
      </c>
      <c r="AD40" s="10">
        <f t="shared" si="7"/>
        <v>8.1238255822120445E-4</v>
      </c>
      <c r="AE40">
        <f t="shared" si="20"/>
        <v>-1151.3801018555807</v>
      </c>
      <c r="AF40" s="10">
        <f t="shared" si="8"/>
        <v>-1875.1820907908002</v>
      </c>
      <c r="AG40" s="10">
        <f t="shared" si="21"/>
        <v>-1151.3797036132619</v>
      </c>
      <c r="AH40" s="10">
        <f t="shared" si="22"/>
        <v>-1875.181278408242</v>
      </c>
      <c r="AI40">
        <f t="shared" si="9"/>
        <v>7535.5526304048735</v>
      </c>
      <c r="AJ40">
        <f t="shared" si="10"/>
        <v>1883.8881576012184</v>
      </c>
      <c r="AK40" s="10">
        <f t="shared" si="11"/>
        <v>2788.1544732498023</v>
      </c>
      <c r="AL40" s="4">
        <f t="shared" si="23"/>
        <v>0.61728395061728403</v>
      </c>
      <c r="AM40">
        <f t="shared" si="12"/>
        <v>7535.5526304048735</v>
      </c>
      <c r="AN40" s="10">
        <f>AJ40 - AG40</f>
        <v>3035.26786121448</v>
      </c>
      <c r="AO40" s="10">
        <f t="shared" si="24"/>
        <v>4663.3357516580445</v>
      </c>
      <c r="AP40" s="10">
        <f t="shared" si="25"/>
        <v>7698.6036128725245</v>
      </c>
      <c r="AQ40" s="9">
        <f t="shared" si="26"/>
        <v>0.39426213036080088</v>
      </c>
      <c r="AR40" s="9">
        <f t="shared" si="27"/>
        <v>0.60573786963919907</v>
      </c>
      <c r="AS40">
        <f t="shared" si="39"/>
        <v>7535.5526304048735</v>
      </c>
      <c r="AT40">
        <f t="shared" si="40"/>
        <v>3035.26786121448</v>
      </c>
      <c r="AU40">
        <f t="shared" si="41"/>
        <v>4663.3357516580436</v>
      </c>
      <c r="AV40">
        <f t="shared" si="31"/>
        <v>0.49464850629520091</v>
      </c>
      <c r="AW40">
        <f t="shared" si="32"/>
        <v>0.19924095648906698</v>
      </c>
      <c r="AX40">
        <f t="shared" si="33"/>
        <v>0.30611053721573211</v>
      </c>
      <c r="AY40" s="3">
        <f t="shared" si="13"/>
        <v>4.1778349816698708E-2</v>
      </c>
      <c r="AZ40">
        <f t="shared" si="14"/>
        <v>9.2137209541371546E-3</v>
      </c>
      <c r="BA40" s="11">
        <f t="shared" si="34"/>
        <v>3.7171489339630132E-2</v>
      </c>
    </row>
    <row r="41" spans="1:53" x14ac:dyDescent="0.2">
      <c r="H41" s="10">
        <f t="shared" si="35"/>
        <v>37</v>
      </c>
      <c r="I41">
        <f t="shared" si="15"/>
        <v>0</v>
      </c>
      <c r="J41">
        <f t="shared" si="16"/>
        <v>1E-4</v>
      </c>
      <c r="K41">
        <f t="shared" si="17"/>
        <v>-250</v>
      </c>
      <c r="L41" s="9">
        <f t="shared" si="0"/>
        <v>0.27020230521471861</v>
      </c>
      <c r="M41" s="11">
        <f t="shared" si="1"/>
        <v>0.48061093171789437</v>
      </c>
      <c r="N41" s="10">
        <f>SUMPRODUCT(I42:I$54, L42:L$54) / L41</f>
        <v>0</v>
      </c>
      <c r="O41" s="10">
        <f>SUMPRODUCT(J42:J$54, M42:M$54) / M41</f>
        <v>1.1348373745997242E-3</v>
      </c>
      <c r="P41" s="10">
        <f>SUMPRODUCT(K42:K$54, M42:M$54) / M41</f>
        <v>-2837.0934364993091</v>
      </c>
      <c r="Q41" s="10" cm="1">
        <f t="array" ref="Q41">IF($H41 &gt;= $B$12 - 1, 0, SUMPRODUCT(I42:I$54*L42:L$54, $H42:$H$54 - $H41) / L41 /N41) / (1 + $B$10)</f>
        <v>0</v>
      </c>
      <c r="R41" s="10" cm="1">
        <f t="array" ref="R41">SUMPRODUCT(J42:J$54*L42:L$54, $H42:$H$54 - $H41) / L41 /O41 / (1 + $B$10)</f>
        <v>5.7549515287306328</v>
      </c>
      <c r="S41" s="10" cm="1">
        <f t="array" ref="S41">SUMPRODUCT(K42:K$54*M42:M$54, $H42:$H$54 - $H41) / M41 /P41 / (1 + $B$10)</f>
        <v>6.5912458464682588</v>
      </c>
      <c r="T41" s="10">
        <f t="shared" si="36"/>
        <v>0</v>
      </c>
      <c r="U41" s="10">
        <f t="shared" si="37"/>
        <v>-249.9999</v>
      </c>
      <c r="V41" s="10">
        <f t="shared" si="18"/>
        <v>-2837.0923016619345</v>
      </c>
      <c r="W41">
        <f t="shared" si="45"/>
        <v>15550.432619672643</v>
      </c>
      <c r="X41" s="10">
        <f t="shared" si="44"/>
        <v>12713.340318010709</v>
      </c>
      <c r="Y41" s="10">
        <f t="shared" si="2"/>
        <v>0</v>
      </c>
      <c r="Z41">
        <f t="shared" si="3"/>
        <v>0</v>
      </c>
      <c r="AA41" s="10">
        <f t="shared" si="4"/>
        <v>0</v>
      </c>
      <c r="AB41" s="10">
        <f t="shared" si="5"/>
        <v>0</v>
      </c>
      <c r="AC41" s="10">
        <f t="shared" si="6"/>
        <v>3.5302346398991024E-4</v>
      </c>
      <c r="AD41" s="10">
        <f t="shared" si="7"/>
        <v>7.8181391060981392E-4</v>
      </c>
      <c r="AE41">
        <f t="shared" si="20"/>
        <v>-1010.8097475334287</v>
      </c>
      <c r="AF41" s="10">
        <f t="shared" si="8"/>
        <v>-1826.2836889658804</v>
      </c>
      <c r="AG41" s="10">
        <f t="shared" si="21"/>
        <v>-1010.8093945099647</v>
      </c>
      <c r="AH41" s="10">
        <f t="shared" si="22"/>
        <v>-1826.2829071519698</v>
      </c>
      <c r="AI41">
        <f t="shared" si="9"/>
        <v>7847.740937043648</v>
      </c>
      <c r="AJ41">
        <f t="shared" si="10"/>
        <v>1961.935234260912</v>
      </c>
      <c r="AK41" s="10">
        <f t="shared" si="11"/>
        <v>2903.664146706149</v>
      </c>
      <c r="AL41" s="4">
        <f t="shared" si="23"/>
        <v>0.61728395061728403</v>
      </c>
      <c r="AM41">
        <f t="shared" si="12"/>
        <v>7847.740937043648</v>
      </c>
      <c r="AN41" s="10">
        <f t="shared" ref="AN41:AN54" si="46">AJ41 - AG41</f>
        <v>2972.7446287708767</v>
      </c>
      <c r="AO41" s="10">
        <f t="shared" si="24"/>
        <v>4729.947053858119</v>
      </c>
      <c r="AP41" s="10">
        <f t="shared" si="25"/>
        <v>7702.6916826289962</v>
      </c>
      <c r="AQ41" s="9">
        <f t="shared" si="26"/>
        <v>0.38593581974402136</v>
      </c>
      <c r="AR41" s="9">
        <f t="shared" si="27"/>
        <v>0.61406418025597864</v>
      </c>
      <c r="AS41">
        <f t="shared" si="39"/>
        <v>7847.740937043648</v>
      </c>
      <c r="AT41">
        <f t="shared" si="40"/>
        <v>2972.7446287708767</v>
      </c>
      <c r="AU41">
        <f t="shared" si="41"/>
        <v>4729.947053858119</v>
      </c>
      <c r="AV41">
        <f t="shared" si="31"/>
        <v>0.5046638334110124</v>
      </c>
      <c r="AW41">
        <f t="shared" si="32"/>
        <v>0.19116796950138207</v>
      </c>
      <c r="AX41">
        <f t="shared" si="33"/>
        <v>0.30416819708760556</v>
      </c>
      <c r="AY41" s="3">
        <f t="shared" si="13"/>
        <v>4.2098233031454317E-2</v>
      </c>
      <c r="AZ41">
        <f t="shared" si="14"/>
        <v>9.4358771850506923E-3</v>
      </c>
      <c r="BA41" s="11">
        <f t="shared" si="34"/>
        <v>3.7380294438928971E-2</v>
      </c>
    </row>
    <row r="42" spans="1:53" x14ac:dyDescent="0.2">
      <c r="H42" s="10">
        <f t="shared" si="35"/>
        <v>38</v>
      </c>
      <c r="I42">
        <f t="shared" si="15"/>
        <v>0</v>
      </c>
      <c r="J42">
        <f t="shared" si="16"/>
        <v>1E-4</v>
      </c>
      <c r="K42">
        <f t="shared" si="17"/>
        <v>-250</v>
      </c>
      <c r="L42" s="9">
        <f t="shared" si="0"/>
        <v>0.26081303592154309</v>
      </c>
      <c r="M42" s="11">
        <f t="shared" si="1"/>
        <v>0.47118718795871989</v>
      </c>
      <c r="N42" s="10">
        <f>SUMPRODUCT(I43:I$54, L43:L$54) / L42</f>
        <v>0</v>
      </c>
      <c r="O42" s="10">
        <f>SUMPRODUCT(J43:J$54, M43:M$54) / M42</f>
        <v>1.0575341220917186E-3</v>
      </c>
      <c r="P42" s="10">
        <f>SUMPRODUCT(K43:K$54, M43:M$54) / M42</f>
        <v>-2643.835305229296</v>
      </c>
      <c r="Q42" s="10" cm="1">
        <f t="array" ref="Q42">IF($H42 &gt;= $B$12 - 1, 0, SUMPRODUCT(I43:I$54*L43:L$54, $H43:$H$54 - $H42) / L42 /N42) / (1 + $B$10)</f>
        <v>0</v>
      </c>
      <c r="R42" s="10" cm="1">
        <f t="array" ref="R42">SUMPRODUCT(J43:J$54*L43:L$54, $H43:$H$54 - $H42) / L42 /O42 / (1 + $B$10)</f>
        <v>5.414647153670626</v>
      </c>
      <c r="S42" s="10" cm="1">
        <f t="array" ref="S42">SUMPRODUCT(K43:K$54*M43:M$54, $H43:$H$54 - $H42) / M42 /P42 / (1 + $B$10)</f>
        <v>6.1414137512050084</v>
      </c>
      <c r="T42" s="10">
        <f t="shared" si="36"/>
        <v>0</v>
      </c>
      <c r="U42" s="10">
        <f t="shared" si="37"/>
        <v>-249.9999</v>
      </c>
      <c r="V42" s="10">
        <f t="shared" si="18"/>
        <v>-2643.8342476951739</v>
      </c>
      <c r="W42">
        <f t="shared" si="45"/>
        <v>15881.712469648732</v>
      </c>
      <c r="X42" s="10">
        <f t="shared" si="44"/>
        <v>13237.878221953557</v>
      </c>
      <c r="Y42" s="10">
        <f t="shared" si="2"/>
        <v>0</v>
      </c>
      <c r="Z42">
        <f t="shared" si="3"/>
        <v>0</v>
      </c>
      <c r="AA42" s="10">
        <f t="shared" si="4"/>
        <v>0</v>
      </c>
      <c r="AB42" s="10">
        <f t="shared" si="5"/>
        <v>0</v>
      </c>
      <c r="AC42" s="10">
        <f t="shared" si="6"/>
        <v>3.0952292562667509E-4</v>
      </c>
      <c r="AD42" s="10">
        <f t="shared" si="7"/>
        <v>7.4801119646504348E-4</v>
      </c>
      <c r="AE42">
        <f t="shared" si="20"/>
        <v>-877.66954051116159</v>
      </c>
      <c r="AF42" s="10">
        <f t="shared" si="8"/>
        <v>-1766.1657647181344</v>
      </c>
      <c r="AG42" s="10">
        <f t="shared" si="21"/>
        <v>-877.669230988236</v>
      </c>
      <c r="AH42" s="10">
        <f t="shared" si="22"/>
        <v>-1766.1650167069379</v>
      </c>
      <c r="AI42">
        <f t="shared" si="9"/>
        <v>8171.5297666379993</v>
      </c>
      <c r="AJ42">
        <f t="shared" si="10"/>
        <v>2042.8824416594998</v>
      </c>
      <c r="AK42" s="10">
        <f t="shared" si="11"/>
        <v>3023.4660136560578</v>
      </c>
      <c r="AL42" s="4">
        <f t="shared" si="23"/>
        <v>0.61728395061728403</v>
      </c>
      <c r="AM42">
        <f t="shared" si="12"/>
        <v>8171.5297666379993</v>
      </c>
      <c r="AN42" s="10">
        <f t="shared" si="46"/>
        <v>2920.5516726477358</v>
      </c>
      <c r="AO42" s="10">
        <f t="shared" si="24"/>
        <v>4789.6310303629962</v>
      </c>
      <c r="AP42" s="10">
        <f t="shared" si="25"/>
        <v>7710.1827030107324</v>
      </c>
      <c r="AQ42" s="9">
        <f t="shared" si="26"/>
        <v>0.37879150016864011</v>
      </c>
      <c r="AR42" s="9">
        <f t="shared" si="27"/>
        <v>0.62120849983135984</v>
      </c>
      <c r="AS42">
        <f t="shared" si="39"/>
        <v>8171.5297666379993</v>
      </c>
      <c r="AT42">
        <f t="shared" si="40"/>
        <v>2920.5516726477358</v>
      </c>
      <c r="AU42">
        <f t="shared" si="41"/>
        <v>4789.6310303629962</v>
      </c>
      <c r="AV42">
        <f t="shared" si="31"/>
        <v>0.51452447475386986</v>
      </c>
      <c r="AW42">
        <f t="shared" si="32"/>
        <v>0.18389400250314014</v>
      </c>
      <c r="AX42">
        <f t="shared" si="33"/>
        <v>0.30158152274298994</v>
      </c>
      <c r="AY42" s="3">
        <f t="shared" si="13"/>
        <v>4.24199190151862E-2</v>
      </c>
      <c r="AZ42">
        <f t="shared" si="14"/>
        <v>9.6730990325868058E-3</v>
      </c>
      <c r="BA42" s="11">
        <f t="shared" si="34"/>
        <v>3.7583369498892794E-2</v>
      </c>
    </row>
    <row r="43" spans="1:53" x14ac:dyDescent="0.2">
      <c r="H43" s="10">
        <f t="shared" si="35"/>
        <v>39</v>
      </c>
      <c r="I43">
        <f t="shared" si="15"/>
        <v>0</v>
      </c>
      <c r="J43">
        <f t="shared" si="16"/>
        <v>1E-4</v>
      </c>
      <c r="K43">
        <f t="shared" si="17"/>
        <v>-250</v>
      </c>
      <c r="L43" s="9">
        <f t="shared" si="0"/>
        <v>0.25175003467330409</v>
      </c>
      <c r="M43" s="11">
        <f t="shared" si="1"/>
        <v>0.46194822348894127</v>
      </c>
      <c r="N43" s="10">
        <f>SUMPRODUCT(I44:I$54, L44:L$54) / L43</f>
        <v>0</v>
      </c>
      <c r="O43" s="10">
        <f>SUMPRODUCT(J44:J$54, M44:M$54) / M43</f>
        <v>9.7868480453355247E-4</v>
      </c>
      <c r="P43" s="10">
        <f>SUMPRODUCT(K44:K$54, M44:M$54) / M43</f>
        <v>-2446.7120113338806</v>
      </c>
      <c r="Q43" s="10" cm="1">
        <f t="array" ref="Q43">IF($H43 &gt;= $B$12 - 1, 0, SUMPRODUCT(I44:I$54*L44:L$54, $H44:$H$54 - $H43) / L43 /N43) / (1 + $B$10)</f>
        <v>0</v>
      </c>
      <c r="R43" s="10" cm="1">
        <f t="array" ref="R43">SUMPRODUCT(J44:J$54*L44:L$54, $H44:$H$54 - $H43) / L43 /O43 / (1 + $B$10)</f>
        <v>5.064527375097545</v>
      </c>
      <c r="S43" s="10" cm="1">
        <f t="array" ref="S43">SUMPRODUCT(K44:K$54*M44:M$54, $H44:$H$54 - $H43) / M43 /P43 / (1 + $B$10)</f>
        <v>5.6883641637205686</v>
      </c>
      <c r="T43" s="10">
        <f t="shared" si="36"/>
        <v>0</v>
      </c>
      <c r="U43" s="10">
        <f t="shared" si="37"/>
        <v>-249.9999</v>
      </c>
      <c r="V43" s="10">
        <f t="shared" si="18"/>
        <v>-2446.7110326490761</v>
      </c>
      <c r="W43">
        <f t="shared" si="45"/>
        <v>16228.600837670712</v>
      </c>
      <c r="X43" s="10">
        <f t="shared" si="44"/>
        <v>13781.889805021636</v>
      </c>
      <c r="Y43" s="10">
        <f t="shared" si="2"/>
        <v>0</v>
      </c>
      <c r="Z43">
        <f t="shared" si="3"/>
        <v>0</v>
      </c>
      <c r="AA43" s="10">
        <f t="shared" si="4"/>
        <v>0</v>
      </c>
      <c r="AB43" s="10">
        <f t="shared" si="5"/>
        <v>0</v>
      </c>
      <c r="AC43" s="10">
        <f t="shared" si="6"/>
        <v>2.6792302617038735E-4</v>
      </c>
      <c r="AD43" s="10">
        <f t="shared" si="7"/>
        <v>7.1076177836316512E-4</v>
      </c>
      <c r="AE43">
        <f t="shared" si="20"/>
        <v>-752.31291482250379</v>
      </c>
      <c r="AF43" s="10">
        <f t="shared" si="8"/>
        <v>-1694.3990965113767</v>
      </c>
      <c r="AG43" s="10">
        <f t="shared" si="21"/>
        <v>-752.31264689947761</v>
      </c>
      <c r="AH43" s="10">
        <f t="shared" si="22"/>
        <v>-1694.3983857495982</v>
      </c>
      <c r="AI43">
        <f t="shared" si="9"/>
        <v>8507.3393858158252</v>
      </c>
      <c r="AJ43">
        <f t="shared" si="10"/>
        <v>2126.8348464539563</v>
      </c>
      <c r="AK43" s="10">
        <f t="shared" si="11"/>
        <v>3147.7155727518543</v>
      </c>
      <c r="AL43" s="4">
        <f t="shared" si="23"/>
        <v>0.61728395061728403</v>
      </c>
      <c r="AM43">
        <f t="shared" si="12"/>
        <v>8507.3393858158252</v>
      </c>
      <c r="AN43" s="10">
        <f t="shared" si="46"/>
        <v>2879.1474933534337</v>
      </c>
      <c r="AO43" s="10">
        <f t="shared" si="24"/>
        <v>4842.1139585014525</v>
      </c>
      <c r="AP43" s="10">
        <f t="shared" si="25"/>
        <v>7721.2614518548862</v>
      </c>
      <c r="AQ43" s="9">
        <f t="shared" si="26"/>
        <v>0.37288563679731029</v>
      </c>
      <c r="AR43" s="9">
        <f t="shared" si="27"/>
        <v>0.62711436320268976</v>
      </c>
      <c r="AS43">
        <f t="shared" si="39"/>
        <v>8507.3393858158252</v>
      </c>
      <c r="AT43">
        <f t="shared" si="40"/>
        <v>2879.1474933534337</v>
      </c>
      <c r="AU43">
        <f t="shared" si="41"/>
        <v>4842.1139585014535</v>
      </c>
      <c r="AV43">
        <f t="shared" si="31"/>
        <v>0.52421890654110648</v>
      </c>
      <c r="AW43">
        <f t="shared" si="32"/>
        <v>0.17741193601054009</v>
      </c>
      <c r="AX43">
        <f t="shared" si="33"/>
        <v>0.29836915744835346</v>
      </c>
      <c r="AY43" s="3">
        <f t="shared" si="13"/>
        <v>4.2742875621749665E-2</v>
      </c>
      <c r="AZ43">
        <f t="shared" si="14"/>
        <v>9.9234868072588245E-3</v>
      </c>
      <c r="BA43" s="11">
        <f t="shared" si="34"/>
        <v>3.7781132218120253E-2</v>
      </c>
    </row>
    <row r="44" spans="1:53" x14ac:dyDescent="0.2">
      <c r="H44" s="10">
        <f t="shared" si="35"/>
        <v>40</v>
      </c>
      <c r="I44">
        <f t="shared" si="15"/>
        <v>0</v>
      </c>
      <c r="J44">
        <f t="shared" si="16"/>
        <v>1E-4</v>
      </c>
      <c r="K44">
        <f t="shared" si="17"/>
        <v>-250</v>
      </c>
      <c r="L44" s="9">
        <f t="shared" si="0"/>
        <v>0.24300196397037077</v>
      </c>
      <c r="M44" s="11">
        <f t="shared" si="1"/>
        <v>0.45289041518523643</v>
      </c>
      <c r="N44" s="10">
        <f>SUMPRODUCT(I45:I$54, L45:L$54) / L44</f>
        <v>0</v>
      </c>
      <c r="O44" s="10">
        <f>SUMPRODUCT(J45:J$54, M45:M$54) / M44</f>
        <v>8.982585006242238E-4</v>
      </c>
      <c r="P44" s="10">
        <f>SUMPRODUCT(K45:K$54, M45:M$54) / M44</f>
        <v>-2245.6462515605594</v>
      </c>
      <c r="Q44" s="10" cm="1">
        <f t="array" ref="Q44">IF($H44 &gt;= $B$12 - 1, 0, SUMPRODUCT(I45:I$54*L45:L$54, $H45:$H$54 - $H44) / L44 /N44) / (1 + $B$10)</f>
        <v>0</v>
      </c>
      <c r="R44" s="10" cm="1">
        <f t="array" ref="R44">SUMPRODUCT(J45:J$54*L45:L$54, $H45:$H$54 - $H44) / L44 /O44 / (1 + $B$10)</f>
        <v>4.7043409897982151</v>
      </c>
      <c r="S44" s="10" cm="1">
        <f t="array" ref="S44">SUMPRODUCT(K45:K$54*M45:M$54, $H45:$H$54 - $H44) / M44 /P44 / (1 + $B$10)</f>
        <v>5.2320941836684085</v>
      </c>
      <c r="T44" s="10">
        <f t="shared" si="36"/>
        <v>0</v>
      </c>
      <c r="U44" s="10">
        <f t="shared" si="37"/>
        <v>-249.9999</v>
      </c>
      <c r="V44" s="10">
        <f t="shared" si="18"/>
        <v>-2245.645353302059</v>
      </c>
      <c r="W44">
        <f t="shared" si="45"/>
        <v>16591.73585163385</v>
      </c>
      <c r="X44" s="10">
        <f t="shared" si="44"/>
        <v>14346.090498331791</v>
      </c>
      <c r="Y44" s="10">
        <f t="shared" si="2"/>
        <v>0</v>
      </c>
      <c r="Z44">
        <f t="shared" si="3"/>
        <v>0</v>
      </c>
      <c r="AA44" s="10">
        <f t="shared" si="4"/>
        <v>0</v>
      </c>
      <c r="AB44" s="10">
        <f t="shared" si="5"/>
        <v>0</v>
      </c>
      <c r="AC44" s="10">
        <f t="shared" si="6"/>
        <v>2.2841698832006603E-4</v>
      </c>
      <c r="AD44" s="10">
        <f t="shared" si="7"/>
        <v>6.6984151230415777E-4</v>
      </c>
      <c r="AE44">
        <f t="shared" si="20"/>
        <v>-635.10446980360894</v>
      </c>
      <c r="AF44" s="10">
        <f t="shared" si="8"/>
        <v>-1610.5417817569505</v>
      </c>
      <c r="AG44" s="10">
        <f t="shared" si="21"/>
        <v>-635.10424138662063</v>
      </c>
      <c r="AH44" s="10">
        <f t="shared" si="22"/>
        <v>-1610.5411119154383</v>
      </c>
      <c r="AI44">
        <f t="shared" si="9"/>
        <v>8855.6114187233288</v>
      </c>
      <c r="AJ44">
        <f t="shared" si="10"/>
        <v>2213.9028546808322</v>
      </c>
      <c r="AK44" s="10">
        <f t="shared" si="11"/>
        <v>3276.5762249276295</v>
      </c>
      <c r="AL44" s="4">
        <f t="shared" si="23"/>
        <v>0.61728395061728392</v>
      </c>
      <c r="AM44">
        <f t="shared" si="12"/>
        <v>8855.6114187233288</v>
      </c>
      <c r="AN44" s="10">
        <f t="shared" si="46"/>
        <v>2849.0070960674529</v>
      </c>
      <c r="AO44" s="10">
        <f t="shared" si="24"/>
        <v>4887.1173368430682</v>
      </c>
      <c r="AP44" s="10">
        <f t="shared" si="25"/>
        <v>7736.1244329105211</v>
      </c>
      <c r="AQ44" s="9">
        <f t="shared" si="26"/>
        <v>0.36827317357350031</v>
      </c>
      <c r="AR44" s="9">
        <f t="shared" si="27"/>
        <v>0.63172682642649969</v>
      </c>
      <c r="AS44">
        <f t="shared" si="39"/>
        <v>8855.6114187233288</v>
      </c>
      <c r="AT44">
        <f t="shared" si="40"/>
        <v>2849.0070960674529</v>
      </c>
      <c r="AU44">
        <f t="shared" si="41"/>
        <v>4887.1173368430682</v>
      </c>
      <c r="AV44">
        <f t="shared" si="31"/>
        <v>0.5337362828043869</v>
      </c>
      <c r="AW44">
        <f t="shared" si="32"/>
        <v>0.1717124188538055</v>
      </c>
      <c r="AX44">
        <f t="shared" si="33"/>
        <v>0.29455129834180765</v>
      </c>
      <c r="AY44" s="3">
        <f t="shared" si="13"/>
        <v>4.3066575500713529E-2</v>
      </c>
      <c r="AZ44">
        <f t="shared" si="14"/>
        <v>1.0185250209603203E-2</v>
      </c>
      <c r="BA44" s="11">
        <f t="shared" si="34"/>
        <v>3.7973950395911928E-2</v>
      </c>
    </row>
    <row r="45" spans="1:53" x14ac:dyDescent="0.2">
      <c r="H45" s="10">
        <f t="shared" si="35"/>
        <v>41</v>
      </c>
      <c r="I45">
        <f t="shared" si="15"/>
        <v>0</v>
      </c>
      <c r="J45">
        <f t="shared" si="16"/>
        <v>1E-4</v>
      </c>
      <c r="K45">
        <f t="shared" si="17"/>
        <v>-250</v>
      </c>
      <c r="L45" s="9">
        <f t="shared" si="0"/>
        <v>0.23455788028028063</v>
      </c>
      <c r="M45" s="11">
        <f t="shared" si="1"/>
        <v>0.44401021096591808</v>
      </c>
      <c r="N45" s="10">
        <f>SUMPRODUCT(I46:I$54, L46:L$54) / L45</f>
        <v>0</v>
      </c>
      <c r="O45" s="10">
        <f>SUMPRODUCT(J46:J$54, M46:M$54) / M45</f>
        <v>8.162236706367082E-4</v>
      </c>
      <c r="P45" s="10">
        <f>SUMPRODUCT(K46:K$54, M46:M$54) / M45</f>
        <v>-2040.5591765917704</v>
      </c>
      <c r="Q45" s="10" cm="1">
        <f t="array" ref="Q45">IF($H45 &gt;= $B$12 - 1, 0, SUMPRODUCT(I46:I$54*L46:L$54, $H46:$H$54 - $H45) / L45 /N45) / (1 + $B$10)</f>
        <v>0</v>
      </c>
      <c r="R45" s="10" cm="1">
        <f t="array" ref="R45">SUMPRODUCT(J46:J$54*L46:L$54, $H46:$H$54 - $H45) / L45 /O45 / (1 + $B$10)</f>
        <v>4.3338309993996917</v>
      </c>
      <c r="S45" s="10" cm="1">
        <f t="array" ref="S45">SUMPRODUCT(K46:K$54*M46:M$54, $H46:$H$54 - $H45) / M45 /P45 / (1 + $B$10)</f>
        <v>4.7726011601877003</v>
      </c>
      <c r="T45" s="10">
        <f t="shared" si="36"/>
        <v>0</v>
      </c>
      <c r="U45" s="10">
        <f t="shared" si="37"/>
        <v>-249.9999</v>
      </c>
      <c r="V45" s="10">
        <f t="shared" si="18"/>
        <v>-2040.5583603680998</v>
      </c>
      <c r="W45">
        <f t="shared" si="45"/>
        <v>16971.789705845869</v>
      </c>
      <c r="X45" s="10">
        <f t="shared" si="44"/>
        <v>14931.231345477769</v>
      </c>
      <c r="Y45" s="10">
        <f t="shared" si="2"/>
        <v>0</v>
      </c>
      <c r="Z45">
        <f t="shared" si="3"/>
        <v>0</v>
      </c>
      <c r="AA45" s="10">
        <f t="shared" si="4"/>
        <v>0</v>
      </c>
      <c r="AB45" s="10">
        <f t="shared" si="5"/>
        <v>0</v>
      </c>
      <c r="AC45" s="10">
        <f t="shared" si="6"/>
        <v>1.9120948358103621E-4</v>
      </c>
      <c r="AD45" s="10">
        <f t="shared" si="7"/>
        <v>6.2501418705567197E-4</v>
      </c>
      <c r="AE45">
        <f t="shared" si="20"/>
        <v>-526.42027533154283</v>
      </c>
      <c r="AF45" s="10">
        <f t="shared" si="8"/>
        <v>-1514.1389012602276</v>
      </c>
      <c r="AG45" s="10">
        <f t="shared" si="21"/>
        <v>-526.42008412205928</v>
      </c>
      <c r="AH45" s="10">
        <f t="shared" si="22"/>
        <v>-1514.1382762460405</v>
      </c>
      <c r="AI45">
        <f t="shared" si="9"/>
        <v>9216.8094725171431</v>
      </c>
      <c r="AJ45">
        <f t="shared" si="10"/>
        <v>2304.2023681292858</v>
      </c>
      <c r="AK45" s="10">
        <f t="shared" si="11"/>
        <v>3410.2195048313397</v>
      </c>
      <c r="AL45" s="4">
        <f t="shared" si="23"/>
        <v>0.61728395061728414</v>
      </c>
      <c r="AM45">
        <f t="shared" si="12"/>
        <v>9216.8094725171431</v>
      </c>
      <c r="AN45" s="10">
        <f t="shared" si="46"/>
        <v>2830.6224522513448</v>
      </c>
      <c r="AO45" s="10">
        <f t="shared" si="24"/>
        <v>4924.3577810773804</v>
      </c>
      <c r="AP45" s="10">
        <f t="shared" si="25"/>
        <v>7754.9802333287253</v>
      </c>
      <c r="AQ45" s="9">
        <f t="shared" si="26"/>
        <v>0.36500704928764682</v>
      </c>
      <c r="AR45" s="9">
        <f t="shared" si="27"/>
        <v>0.63499295071235318</v>
      </c>
      <c r="AS45">
        <f t="shared" si="39"/>
        <v>9216.8094725171431</v>
      </c>
      <c r="AT45">
        <f t="shared" si="40"/>
        <v>2830.6224522513448</v>
      </c>
      <c r="AU45">
        <f t="shared" si="41"/>
        <v>4924.3577810773813</v>
      </c>
      <c r="AV45">
        <f t="shared" si="31"/>
        <v>0.54306644333110299</v>
      </c>
      <c r="AW45">
        <f t="shared" si="32"/>
        <v>0.16678396924022382</v>
      </c>
      <c r="AX45">
        <f t="shared" si="33"/>
        <v>0.29014958742867319</v>
      </c>
      <c r="AY45" s="3">
        <f t="shared" si="13"/>
        <v>4.3390497425646359E-2</v>
      </c>
      <c r="AZ45">
        <f t="shared" si="14"/>
        <v>1.0456712958277303E-2</v>
      </c>
      <c r="BA45" s="11">
        <f t="shared" si="34"/>
        <v>3.816214094650771E-2</v>
      </c>
    </row>
    <row r="46" spans="1:53" x14ac:dyDescent="0.2">
      <c r="H46" s="10">
        <f t="shared" si="35"/>
        <v>42</v>
      </c>
      <c r="I46">
        <f t="shared" si="15"/>
        <v>0</v>
      </c>
      <c r="J46">
        <f t="shared" si="16"/>
        <v>1E-4</v>
      </c>
      <c r="K46">
        <f t="shared" si="17"/>
        <v>-250</v>
      </c>
      <c r="L46" s="9">
        <f t="shared" si="0"/>
        <v>0.22640722034776126</v>
      </c>
      <c r="M46" s="11">
        <f t="shared" si="1"/>
        <v>0.4353041283979589</v>
      </c>
      <c r="N46" s="10">
        <f>SUMPRODUCT(I47:I$54, L47:L$54) / L46</f>
        <v>0</v>
      </c>
      <c r="O46" s="10">
        <f>SUMPRODUCT(J47:J$54, M47:M$54) / M46</f>
        <v>7.3254814404944237E-4</v>
      </c>
      <c r="P46" s="10">
        <f>SUMPRODUCT(K47:K$54, M47:M$54) / M46</f>
        <v>-1831.3703601236057</v>
      </c>
      <c r="Q46" s="10" cm="1">
        <f t="array" ref="Q46">IF($H46 &gt;= $B$12 - 1, 0, SUMPRODUCT(I47:I$54*L47:L$54, $H47:$H$54 - $H46) / L46 /N46) / (1 + $B$10)</f>
        <v>0</v>
      </c>
      <c r="R46" s="10" cm="1">
        <f t="array" ref="R46">SUMPRODUCT(J47:J$54*L47:L$54, $H47:$H$54 - $H46) / L46 /O46 / (1 + $B$10)</f>
        <v>3.9527344892273941</v>
      </c>
      <c r="S46" s="10" cm="1">
        <f t="array" ref="S46">SUMPRODUCT(K47:K$54*M47:M$54, $H47:$H$54 - $H46) / M46 /P46 / (1 + $B$10)</f>
        <v>4.3098826926420921</v>
      </c>
      <c r="T46" s="10">
        <f t="shared" si="36"/>
        <v>0</v>
      </c>
      <c r="U46" s="10">
        <f t="shared" si="37"/>
        <v>-249.9999</v>
      </c>
      <c r="V46" s="10">
        <f t="shared" si="18"/>
        <v>-1831.3696275754617</v>
      </c>
      <c r="W46">
        <f t="shared" si="45"/>
        <v>17369.469636714846</v>
      </c>
      <c r="X46" s="10">
        <f t="shared" si="44"/>
        <v>15538.100009139385</v>
      </c>
      <c r="Y46" s="10">
        <f t="shared" si="2"/>
        <v>0</v>
      </c>
      <c r="Z46">
        <f t="shared" si="3"/>
        <v>0</v>
      </c>
      <c r="AA46" s="10">
        <f t="shared" si="4"/>
        <v>0</v>
      </c>
      <c r="AB46" s="10">
        <f t="shared" si="5"/>
        <v>0</v>
      </c>
      <c r="AC46" s="10">
        <f t="shared" si="6"/>
        <v>1.5651720616236475E-4</v>
      </c>
      <c r="AD46" s="10">
        <f t="shared" si="7"/>
        <v>5.7603093788707762E-4</v>
      </c>
      <c r="AE46">
        <f t="shared" si="20"/>
        <v>-426.64818480618612</v>
      </c>
      <c r="AF46" s="10">
        <f t="shared" si="8"/>
        <v>-1404.7221753174194</v>
      </c>
      <c r="AG46" s="10">
        <f t="shared" si="21"/>
        <v>-426.64802828897996</v>
      </c>
      <c r="AH46" s="10">
        <f t="shared" si="22"/>
        <v>-1404.7215992864815</v>
      </c>
      <c r="AI46">
        <f t="shared" si="9"/>
        <v>9591.4197587280159</v>
      </c>
      <c r="AJ46">
        <f t="shared" si="10"/>
        <v>2397.854939682004</v>
      </c>
      <c r="AK46" s="10">
        <f t="shared" si="11"/>
        <v>3548.8253107293654</v>
      </c>
      <c r="AL46" s="4">
        <f t="shared" si="23"/>
        <v>0.61728395061728403</v>
      </c>
      <c r="AM46">
        <f t="shared" si="12"/>
        <v>9591.4197587280159</v>
      </c>
      <c r="AN46" s="10">
        <f t="shared" si="46"/>
        <v>2824.5029679709842</v>
      </c>
      <c r="AO46" s="10">
        <f t="shared" si="24"/>
        <v>4953.5469100158471</v>
      </c>
      <c r="AP46" s="10">
        <f t="shared" si="25"/>
        <v>7778.0498779868312</v>
      </c>
      <c r="AQ46" s="9">
        <f t="shared" si="26"/>
        <v>0.36313767747424647</v>
      </c>
      <c r="AR46" s="9">
        <f t="shared" si="27"/>
        <v>0.63686232252575348</v>
      </c>
      <c r="AS46">
        <f t="shared" si="39"/>
        <v>9591.4197587280159</v>
      </c>
      <c r="AT46">
        <f t="shared" si="40"/>
        <v>2824.5029679709842</v>
      </c>
      <c r="AU46">
        <f t="shared" si="41"/>
        <v>4953.5469100158462</v>
      </c>
      <c r="AV46">
        <f t="shared" si="31"/>
        <v>0.55219992085734615</v>
      </c>
      <c r="AW46">
        <f t="shared" si="32"/>
        <v>0.16261308071264707</v>
      </c>
      <c r="AX46">
        <f t="shared" si="33"/>
        <v>0.28518699843000672</v>
      </c>
      <c r="AY46" s="3">
        <f t="shared" si="13"/>
        <v>4.3714127641420318E-2</v>
      </c>
      <c r="AZ46">
        <f t="shared" si="14"/>
        <v>1.0736315638284437E-2</v>
      </c>
      <c r="BA46" s="11">
        <f t="shared" si="34"/>
        <v>3.83459698222781E-2</v>
      </c>
    </row>
    <row r="47" spans="1:53" x14ac:dyDescent="0.2">
      <c r="H47" s="10">
        <f t="shared" si="35"/>
        <v>43</v>
      </c>
      <c r="I47">
        <f t="shared" si="15"/>
        <v>0</v>
      </c>
      <c r="J47">
        <f t="shared" si="16"/>
        <v>1E-4</v>
      </c>
      <c r="K47">
        <f t="shared" si="17"/>
        <v>-250</v>
      </c>
      <c r="L47" s="9">
        <f t="shared" si="0"/>
        <v>0.2185397879804645</v>
      </c>
      <c r="M47" s="11">
        <f t="shared" si="1"/>
        <v>0.4267687533313323</v>
      </c>
      <c r="N47" s="10">
        <f>SUMPRODUCT(I48:I$54, L48:L$54) / L47</f>
        <v>0</v>
      </c>
      <c r="O47" s="10">
        <f>SUMPRODUCT(J48:J$54, M48:M$54) / M47</f>
        <v>6.4719910693043108E-4</v>
      </c>
      <c r="P47" s="10">
        <f>SUMPRODUCT(K48:K$54, M48:M$54) / M47</f>
        <v>-1617.9977673260778</v>
      </c>
      <c r="Q47" s="10" cm="1">
        <f t="array" ref="Q47">IF($H47 &gt;= $B$12 - 1, 0, SUMPRODUCT(I48:I$54*L48:L$54, $H48:$H$54 - $H47) / L47 /N47) / (1 + $B$10)</f>
        <v>0</v>
      </c>
      <c r="R47" s="10" cm="1">
        <f t="array" ref="R47">SUMPRODUCT(J48:J$54*L48:L$54, $H48:$H$54 - $H47) / L47 /O47 / (1 + $B$10)</f>
        <v>3.5607825048451711</v>
      </c>
      <c r="S47" s="10" cm="1">
        <f t="array" ref="S47">SUMPRODUCT(K48:K$54*M48:M$54, $H48:$H$54 - $H47) / M47 /P47 / (1 + $B$10)</f>
        <v>3.8439366312893708</v>
      </c>
      <c r="T47" s="10">
        <f t="shared" si="36"/>
        <v>0</v>
      </c>
      <c r="U47" s="10">
        <f t="shared" si="37"/>
        <v>-249.9999</v>
      </c>
      <c r="V47" s="10">
        <f t="shared" si="18"/>
        <v>-1617.9971201269709</v>
      </c>
      <c r="W47">
        <f t="shared" si="45"/>
        <v>17785.51889523329</v>
      </c>
      <c r="X47" s="10">
        <f t="shared" si="44"/>
        <v>16167.521775106319</v>
      </c>
      <c r="Y47" s="10">
        <f t="shared" si="2"/>
        <v>0</v>
      </c>
      <c r="Z47">
        <f t="shared" si="3"/>
        <v>0</v>
      </c>
      <c r="AA47" s="10">
        <f t="shared" si="4"/>
        <v>0</v>
      </c>
      <c r="AB47" s="10">
        <f t="shared" si="5"/>
        <v>0</v>
      </c>
      <c r="AC47" s="10">
        <f t="shared" si="6"/>
        <v>1.2456947335725936E-4</v>
      </c>
      <c r="AD47" s="10">
        <f t="shared" si="7"/>
        <v>5.2262963357317172E-4</v>
      </c>
      <c r="AE47">
        <f t="shared" si="20"/>
        <v>-336.18815606319606</v>
      </c>
      <c r="AF47" s="10">
        <f t="shared" si="8"/>
        <v>-1281.8096112628818</v>
      </c>
      <c r="AG47" s="10">
        <f t="shared" si="21"/>
        <v>-336.18803149372269</v>
      </c>
      <c r="AH47" s="10">
        <f t="shared" si="22"/>
        <v>-1281.8090886332482</v>
      </c>
      <c r="AI47">
        <f t="shared" si="9"/>
        <v>9979.9517130285931</v>
      </c>
      <c r="AJ47">
        <f t="shared" si="10"/>
        <v>2494.9879282571483</v>
      </c>
      <c r="AK47" s="10">
        <f t="shared" si="11"/>
        <v>3692.5821338205778</v>
      </c>
      <c r="AL47" s="4">
        <f t="shared" si="23"/>
        <v>0.61728395061728392</v>
      </c>
      <c r="AM47">
        <f t="shared" si="12"/>
        <v>9979.9517130285931</v>
      </c>
      <c r="AN47" s="10">
        <f t="shared" si="46"/>
        <v>2831.1759597508708</v>
      </c>
      <c r="AO47" s="10">
        <f t="shared" si="24"/>
        <v>4974.3912224538262</v>
      </c>
      <c r="AP47" s="10">
        <f t="shared" si="25"/>
        <v>7805.567182204697</v>
      </c>
      <c r="AQ47" s="9">
        <f t="shared" si="26"/>
        <v>0.36271239407245737</v>
      </c>
      <c r="AR47" s="9">
        <f t="shared" si="27"/>
        <v>0.63728760592754263</v>
      </c>
      <c r="AS47">
        <f t="shared" si="39"/>
        <v>9979.9517130285931</v>
      </c>
      <c r="AT47">
        <f t="shared" si="40"/>
        <v>2831.1759597508708</v>
      </c>
      <c r="AU47">
        <f t="shared" si="41"/>
        <v>4974.3912224538262</v>
      </c>
      <c r="AV47">
        <f t="shared" si="31"/>
        <v>0.5611279475069646</v>
      </c>
      <c r="AW47">
        <f t="shared" si="32"/>
        <v>0.15918433285124206</v>
      </c>
      <c r="AX47">
        <f t="shared" si="33"/>
        <v>0.27968771964179334</v>
      </c>
      <c r="AY47" s="3">
        <f t="shared" si="13"/>
        <v>4.4036961228791006E-2</v>
      </c>
      <c r="AZ47">
        <f t="shared" si="14"/>
        <v>1.1022616899677031E-2</v>
      </c>
      <c r="BA47" s="11">
        <f t="shared" si="34"/>
        <v>3.8525652778952493E-2</v>
      </c>
    </row>
    <row r="48" spans="1:53" x14ac:dyDescent="0.2">
      <c r="H48" s="10">
        <f t="shared" si="35"/>
        <v>44</v>
      </c>
      <c r="I48">
        <f t="shared" si="15"/>
        <v>0</v>
      </c>
      <c r="J48">
        <f t="shared" si="16"/>
        <v>1E-4</v>
      </c>
      <c r="K48">
        <f t="shared" si="17"/>
        <v>-250</v>
      </c>
      <c r="L48" s="9">
        <f t="shared" si="0"/>
        <v>0.21094574129388466</v>
      </c>
      <c r="M48" s="11">
        <f t="shared" si="1"/>
        <v>0.41840073856012966</v>
      </c>
      <c r="N48" s="10">
        <f>SUMPRODUCT(I49:I$54, L49:L$54) / L48</f>
        <v>0</v>
      </c>
      <c r="O48" s="10">
        <f>SUMPRODUCT(J49:J$54, M49:M$54) / M48</f>
        <v>5.6014308906903983E-4</v>
      </c>
      <c r="P48" s="10">
        <f>SUMPRODUCT(K49:K$54, M49:M$54) / M48</f>
        <v>-1400.3577226725993</v>
      </c>
      <c r="Q48" s="10" cm="1">
        <f t="array" ref="Q48">IF($H48 &gt;= $B$12 - 1, 0, SUMPRODUCT(I49:I$54*L49:L$54, $H49:$H$54 - $H48) / L48 /N48) / (1 + $B$10)</f>
        <v>0</v>
      </c>
      <c r="R48" s="10" cm="1">
        <f t="array" ref="R48">SUMPRODUCT(J49:J$54*L49:L$54, $H49:$H$54 - $H48) / L48 /O48 / (1 + $B$10)</f>
        <v>3.1576999262352277</v>
      </c>
      <c r="S48" s="10" cm="1">
        <f t="array" ref="S48">SUMPRODUCT(K49:K$54*M49:M$54, $H49:$H$54 - $H48) / M48 /P48 / (1 + $B$10)</f>
        <v>3.3747610778816193</v>
      </c>
      <c r="T48" s="10">
        <f t="shared" si="36"/>
        <v>0</v>
      </c>
      <c r="U48" s="10">
        <f t="shared" si="37"/>
        <v>-249.9999</v>
      </c>
      <c r="V48" s="10">
        <f t="shared" si="18"/>
        <v>-1400.3571625295101</v>
      </c>
      <c r="W48">
        <f t="shared" si="45"/>
        <v>18220.717720684548</v>
      </c>
      <c r="X48" s="10">
        <f t="shared" si="44"/>
        <v>16820.360558155036</v>
      </c>
      <c r="Y48" s="10">
        <f t="shared" si="2"/>
        <v>0</v>
      </c>
      <c r="Z48">
        <f t="shared" si="3"/>
        <v>0</v>
      </c>
      <c r="AA48" s="10">
        <f t="shared" si="4"/>
        <v>0</v>
      </c>
      <c r="AB48" s="10">
        <f t="shared" si="5"/>
        <v>0</v>
      </c>
      <c r="AC48" s="10">
        <f t="shared" si="6"/>
        <v>9.5608853569431333E-5</v>
      </c>
      <c r="AD48" s="10">
        <f t="shared" si="7"/>
        <v>4.6453423549960848E-4</v>
      </c>
      <c r="AE48">
        <f t="shared" si="20"/>
        <v>-255.45258041007733</v>
      </c>
      <c r="AF48" s="10">
        <f t="shared" si="8"/>
        <v>-1144.9051422625218</v>
      </c>
      <c r="AG48" s="10">
        <f t="shared" si="21"/>
        <v>-255.45248480122376</v>
      </c>
      <c r="AH48" s="10">
        <f t="shared" si="22"/>
        <v>-1144.9046777282863</v>
      </c>
      <c r="AI48">
        <f t="shared" si="9"/>
        <v>10382.938616145086</v>
      </c>
      <c r="AJ48">
        <f t="shared" si="10"/>
        <v>2595.7346540362714</v>
      </c>
      <c r="AK48" s="10">
        <f t="shared" si="11"/>
        <v>3841.6872879736793</v>
      </c>
      <c r="AL48" s="4">
        <f t="shared" si="23"/>
        <v>0.61728395061728403</v>
      </c>
      <c r="AM48">
        <f t="shared" si="12"/>
        <v>10382.938616145086</v>
      </c>
      <c r="AN48" s="10">
        <f t="shared" si="46"/>
        <v>2851.1871388374952</v>
      </c>
      <c r="AO48" s="10">
        <f t="shared" si="24"/>
        <v>4986.5919657019658</v>
      </c>
      <c r="AP48" s="10">
        <f t="shared" si="25"/>
        <v>7837.7791045394606</v>
      </c>
      <c r="AQ48" s="9">
        <f t="shared" si="26"/>
        <v>0.36377487816493242</v>
      </c>
      <c r="AR48" s="9">
        <f t="shared" si="27"/>
        <v>0.63622512183506763</v>
      </c>
      <c r="AS48">
        <f t="shared" si="39"/>
        <v>10382.938616145086</v>
      </c>
      <c r="AT48">
        <f t="shared" si="40"/>
        <v>2851.1871388374952</v>
      </c>
      <c r="AU48">
        <f t="shared" si="41"/>
        <v>4986.5919657019676</v>
      </c>
      <c r="AV48">
        <f t="shared" si="31"/>
        <v>0.56984246039650521</v>
      </c>
      <c r="AW48">
        <f t="shared" si="32"/>
        <v>0.15648050656098836</v>
      </c>
      <c r="AX48">
        <f t="shared" si="33"/>
        <v>0.27367703304250646</v>
      </c>
      <c r="AY48" s="3">
        <f t="shared" si="13"/>
        <v>4.4358503481470093E-2</v>
      </c>
      <c r="AZ48">
        <f t="shared" si="14"/>
        <v>1.1314293146780166E-2</v>
      </c>
      <c r="BA48" s="11">
        <f t="shared" si="34"/>
        <v>3.8701356908080013E-2</v>
      </c>
    </row>
    <row r="49" spans="8:53" x14ac:dyDescent="0.2">
      <c r="H49" s="10">
        <f t="shared" si="35"/>
        <v>45</v>
      </c>
      <c r="I49">
        <f t="shared" si="15"/>
        <v>0</v>
      </c>
      <c r="J49">
        <f t="shared" si="16"/>
        <v>1E-4</v>
      </c>
      <c r="K49">
        <f t="shared" si="17"/>
        <v>-250</v>
      </c>
      <c r="L49" s="9">
        <f t="shared" si="0"/>
        <v>0.20361558039950253</v>
      </c>
      <c r="M49" s="11">
        <f t="shared" si="1"/>
        <v>0.41019680250993107</v>
      </c>
      <c r="N49" s="10">
        <f>SUMPRODUCT(I50:I$54, L50:L$54) / L49</f>
        <v>0</v>
      </c>
      <c r="O49" s="10">
        <f>SUMPRODUCT(J50:J$54, M50:M$54) / M49</f>
        <v>4.7134595085042056E-4</v>
      </c>
      <c r="P49" s="10">
        <f>SUMPRODUCT(K50:K$54, M50:M$54) / M49</f>
        <v>-1178.3648771260512</v>
      </c>
      <c r="Q49" s="10" cm="1">
        <f t="array" ref="Q49">IF($H49 &gt;= $B$12 - 1, 0, SUMPRODUCT(I50:I$54*L50:L$54, $H50:$H$54 - $H49) / L49 /N49) / (1 + $B$10)</f>
        <v>0</v>
      </c>
      <c r="R49" s="10" cm="1">
        <f t="array" ref="R49">SUMPRODUCT(J50:J$54*L50:L$54, $H50:$H$54 - $H49) / L49 /O49 / (1 + $B$10)</f>
        <v>2.7432053395752347</v>
      </c>
      <c r="S49" s="10" cm="1">
        <f t="array" ref="S49">SUMPRODUCT(K50:K$54*M50:M$54, $H50:$H$54 - $H49) / M49 /P49 / (1 + $B$10)</f>
        <v>2.9023543861955372</v>
      </c>
      <c r="T49" s="10">
        <f t="shared" si="36"/>
        <v>0</v>
      </c>
      <c r="U49" s="10">
        <f t="shared" si="37"/>
        <v>-249.9999</v>
      </c>
      <c r="V49" s="10">
        <f t="shared" si="18"/>
        <v>-1178.3644057801002</v>
      </c>
      <c r="W49">
        <f t="shared" si="45"/>
        <v>18675.88432031414</v>
      </c>
      <c r="X49" s="10">
        <f t="shared" si="44"/>
        <v>17497.519914534041</v>
      </c>
      <c r="Y49" s="10">
        <f t="shared" si="2"/>
        <v>0</v>
      </c>
      <c r="Z49">
        <f t="shared" si="3"/>
        <v>0</v>
      </c>
      <c r="AA49" s="10">
        <f t="shared" si="4"/>
        <v>0</v>
      </c>
      <c r="AB49" s="10">
        <f t="shared" si="5"/>
        <v>0</v>
      </c>
      <c r="AC49" s="10">
        <f t="shared" si="6"/>
        <v>6.9891823197839985E-5</v>
      </c>
      <c r="AD49" s="10">
        <f t="shared" si="7"/>
        <v>4.0145412765258055E-4</v>
      </c>
      <c r="AE49">
        <f t="shared" si="20"/>
        <v>-184.86661998192213</v>
      </c>
      <c r="AF49" s="10">
        <f t="shared" si="8"/>
        <v>-993.49825714412907</v>
      </c>
      <c r="AG49" s="10">
        <f t="shared" si="21"/>
        <v>-184.86655009009894</v>
      </c>
      <c r="AH49" s="10">
        <f t="shared" si="22"/>
        <v>-993.49785569000142</v>
      </c>
      <c r="AI49">
        <f t="shared" si="9"/>
        <v>10800.938218848174</v>
      </c>
      <c r="AJ49">
        <f t="shared" si="10"/>
        <v>2700.2345547120435</v>
      </c>
      <c r="AK49" s="10">
        <f t="shared" si="11"/>
        <v>3996.3471409738236</v>
      </c>
      <c r="AL49" s="4">
        <f t="shared" si="23"/>
        <v>0.61728395061728403</v>
      </c>
      <c r="AM49">
        <f t="shared" si="12"/>
        <v>10800.938218848174</v>
      </c>
      <c r="AN49" s="10">
        <f t="shared" si="46"/>
        <v>2885.1011048021423</v>
      </c>
      <c r="AO49" s="10">
        <f t="shared" si="24"/>
        <v>4989.8449966638254</v>
      </c>
      <c r="AP49" s="10">
        <f t="shared" si="25"/>
        <v>7874.9461014659682</v>
      </c>
      <c r="AQ49" s="9">
        <f t="shared" si="26"/>
        <v>0.36636455254786615</v>
      </c>
      <c r="AR49" s="9">
        <f t="shared" si="27"/>
        <v>0.63363544745213385</v>
      </c>
      <c r="AS49">
        <f t="shared" si="39"/>
        <v>10800.938218848174</v>
      </c>
      <c r="AT49">
        <f t="shared" si="40"/>
        <v>2885.1011048021423</v>
      </c>
      <c r="AU49">
        <f t="shared" si="41"/>
        <v>4989.8449966638236</v>
      </c>
      <c r="AV49">
        <f t="shared" si="31"/>
        <v>0.57833610626404308</v>
      </c>
      <c r="AW49">
        <f t="shared" si="32"/>
        <v>0.1544827037541649</v>
      </c>
      <c r="AX49">
        <f t="shared" si="33"/>
        <v>0.26718118998179202</v>
      </c>
      <c r="AY49" s="3">
        <f t="shared" si="13"/>
        <v>4.4678271288103373E-2</v>
      </c>
      <c r="AZ49">
        <f t="shared" si="14"/>
        <v>1.161013686519839E-2</v>
      </c>
      <c r="BA49" s="11">
        <f t="shared" si="34"/>
        <v>3.8873202855504177E-2</v>
      </c>
    </row>
    <row r="50" spans="8:53" x14ac:dyDescent="0.2">
      <c r="H50" s="10">
        <f t="shared" si="35"/>
        <v>46</v>
      </c>
      <c r="I50">
        <f t="shared" si="15"/>
        <v>0</v>
      </c>
      <c r="J50">
        <f t="shared" si="16"/>
        <v>1E-4</v>
      </c>
      <c r="K50">
        <f t="shared" si="17"/>
        <v>-250</v>
      </c>
      <c r="L50" s="9">
        <f t="shared" si="0"/>
        <v>0.19654013552075539</v>
      </c>
      <c r="M50" s="11">
        <f t="shared" si="1"/>
        <v>0.40215372795091275</v>
      </c>
      <c r="N50" s="10">
        <f>SUMPRODUCT(I51:I$54, L51:L$54) / L50</f>
        <v>0</v>
      </c>
      <c r="O50" s="10">
        <f>SUMPRODUCT(J51:J$54, M51:M$54) / M50</f>
        <v>3.8077286986742899E-4</v>
      </c>
      <c r="P50" s="10">
        <f>SUMPRODUCT(K51:K$54, M51:M$54) / M50</f>
        <v>-951.93217466857243</v>
      </c>
      <c r="Q50" s="10" cm="1">
        <f t="array" ref="Q50">IF($H50 &gt;= $B$12 - 1, 0, SUMPRODUCT(I51:I$54*L51:L$54, $H51:$H$54 - $H50) / L50 /N50) / (1 + $B$10)</f>
        <v>0</v>
      </c>
      <c r="R50" s="10" cm="1">
        <f t="array" ref="R50">SUMPRODUCT(J51:J$54*L51:L$54, $H51:$H$54 - $H50) / L50 /O50 / (1 + $B$10)</f>
        <v>2.3170109065690752</v>
      </c>
      <c r="S50" s="10" cm="1">
        <f t="array" ref="S50">SUMPRODUCT(K51:K$54*M51:M$54, $H51:$H$54 - $H50) / M50 /P50 / (1 + $B$10)</f>
        <v>2.426715162492644</v>
      </c>
      <c r="T50" s="10">
        <f t="shared" si="36"/>
        <v>0</v>
      </c>
      <c r="U50" s="10">
        <f t="shared" si="37"/>
        <v>-249.9999</v>
      </c>
      <c r="V50" s="10">
        <f t="shared" si="18"/>
        <v>-951.93179389570253</v>
      </c>
      <c r="W50">
        <f t="shared" si="45"/>
        <v>19151.875860003642</v>
      </c>
      <c r="X50" s="10">
        <f t="shared" si="44"/>
        <v>18199.944066107939</v>
      </c>
      <c r="Y50" s="10">
        <f t="shared" si="2"/>
        <v>0</v>
      </c>
      <c r="Z50">
        <f t="shared" si="3"/>
        <v>0</v>
      </c>
      <c r="AA50" s="10">
        <f t="shared" si="4"/>
        <v>0</v>
      </c>
      <c r="AB50" s="10">
        <f t="shared" si="5"/>
        <v>0</v>
      </c>
      <c r="AC50" s="10">
        <f t="shared" si="6"/>
        <v>4.7689453643699466E-5</v>
      </c>
      <c r="AD50" s="10">
        <f t="shared" si="7"/>
        <v>3.330834162237295E-4</v>
      </c>
      <c r="AE50">
        <f t="shared" si="20"/>
        <v>-124.8685536179903</v>
      </c>
      <c r="AF50" s="10">
        <f t="shared" si="8"/>
        <v>-827.06362105058213</v>
      </c>
      <c r="AG50" s="10">
        <f t="shared" si="21"/>
        <v>-124.86850592853666</v>
      </c>
      <c r="AH50" s="10">
        <f t="shared" si="22"/>
        <v>-827.06328796716593</v>
      </c>
      <c r="AI50">
        <f t="shared" si="9"/>
        <v>11234.533374140705</v>
      </c>
      <c r="AJ50">
        <f t="shared" si="10"/>
        <v>2808.6333435351762</v>
      </c>
      <c r="AK50" s="10">
        <f t="shared" si="11"/>
        <v>4156.7773484320578</v>
      </c>
      <c r="AL50" s="4">
        <f t="shared" si="23"/>
        <v>0.61728395061728403</v>
      </c>
      <c r="AM50">
        <f t="shared" si="12"/>
        <v>11234.533374140705</v>
      </c>
      <c r="AN50" s="10">
        <f t="shared" si="46"/>
        <v>2933.5018494637129</v>
      </c>
      <c r="AO50" s="10">
        <f t="shared" si="24"/>
        <v>4983.8406363992235</v>
      </c>
      <c r="AP50" s="10">
        <f t="shared" si="25"/>
        <v>7917.3424858629369</v>
      </c>
      <c r="AQ50" s="9">
        <f t="shared" si="26"/>
        <v>0.37051597233563166</v>
      </c>
      <c r="AR50" s="9">
        <f t="shared" si="27"/>
        <v>0.62948402766436828</v>
      </c>
      <c r="AS50">
        <f t="shared" si="39"/>
        <v>11234.533374140705</v>
      </c>
      <c r="AT50">
        <f t="shared" si="40"/>
        <v>2933.5018494637129</v>
      </c>
      <c r="AU50">
        <f t="shared" si="41"/>
        <v>4983.8406363992235</v>
      </c>
      <c r="AV50">
        <f t="shared" si="31"/>
        <v>0.58660224493218749</v>
      </c>
      <c r="AW50">
        <f t="shared" si="32"/>
        <v>0.15317047118031785</v>
      </c>
      <c r="AX50">
        <f t="shared" si="33"/>
        <v>0.26022728388749466</v>
      </c>
      <c r="AY50" s="3">
        <f t="shared" si="13"/>
        <v>4.4995794509090678E-2</v>
      </c>
      <c r="AZ50">
        <f t="shared" si="14"/>
        <v>1.1909053738835079E-2</v>
      </c>
      <c r="BA50" s="11">
        <f t="shared" si="34"/>
        <v>3.9041267639673138E-2</v>
      </c>
    </row>
    <row r="51" spans="8:53" x14ac:dyDescent="0.2">
      <c r="H51" s="10">
        <f t="shared" si="35"/>
        <v>47</v>
      </c>
      <c r="I51">
        <f t="shared" si="15"/>
        <v>0</v>
      </c>
      <c r="J51">
        <f t="shared" si="16"/>
        <v>1E-4</v>
      </c>
      <c r="K51">
        <f t="shared" si="17"/>
        <v>-250</v>
      </c>
      <c r="L51" s="9">
        <f t="shared" si="0"/>
        <v>0.18971055552196464</v>
      </c>
      <c r="M51" s="11">
        <f t="shared" si="1"/>
        <v>0.39426836073618909</v>
      </c>
      <c r="N51" s="10">
        <f>SUMPRODUCT(I52:I$54, L52:L$54) / L51</f>
        <v>0</v>
      </c>
      <c r="O51" s="10">
        <f>SUMPRODUCT(J52:J$54, M52:M$54) / M51</f>
        <v>2.8838832726477744E-4</v>
      </c>
      <c r="P51" s="10">
        <f>SUMPRODUCT(K52:K$54, M52:M$54) / M51</f>
        <v>-720.9708181619435</v>
      </c>
      <c r="Q51" s="10" cm="1">
        <f t="array" ref="Q51">IF($H51 &gt;= $B$12 - 1, 0, SUMPRODUCT(I52:I$54*L52:L$54, $H52:$H$54 - $H51) / L51 /N51) / (1 + $B$10)</f>
        <v>0</v>
      </c>
      <c r="R51" s="10" cm="1">
        <f t="array" ref="R51">SUMPRODUCT(J52:J$54*L52:L$54, $H52:$H$54 - $H51) / L51 /O51 / (1 + $B$10)</f>
        <v>1.8788222312869305</v>
      </c>
      <c r="S51" s="10" cm="1">
        <f t="array" ref="S51">SUMPRODUCT(K52:K$54*M52:M$54, $H52:$H$54 - $H51) / M51 /P51 / (1 + $B$10)</f>
        <v>1.9478422659091088</v>
      </c>
      <c r="T51" s="10">
        <f t="shared" si="36"/>
        <v>0</v>
      </c>
      <c r="U51" s="10">
        <f t="shared" si="37"/>
        <v>-249.9999</v>
      </c>
      <c r="V51" s="10">
        <f t="shared" si="18"/>
        <v>-720.97052977361625</v>
      </c>
      <c r="W51">
        <f t="shared" si="45"/>
        <v>19649.58947125584</v>
      </c>
      <c r="X51" s="10">
        <f>V51 + W51</f>
        <v>18928.618941482226</v>
      </c>
      <c r="Y51" s="10">
        <f t="shared" si="2"/>
        <v>0</v>
      </c>
      <c r="Z51">
        <f t="shared" si="3"/>
        <v>0</v>
      </c>
      <c r="AA51" s="10">
        <f t="shared" si="4"/>
        <v>0</v>
      </c>
      <c r="AB51" s="10">
        <f t="shared" si="5"/>
        <v>0</v>
      </c>
      <c r="AC51" s="10">
        <f t="shared" si="6"/>
        <v>2.9288129757227822E-5</v>
      </c>
      <c r="AD51" s="10">
        <f t="shared" si="7"/>
        <v>2.591001975075496E-4</v>
      </c>
      <c r="AE51">
        <f t="shared" si="20"/>
        <v>-75.910131465021848</v>
      </c>
      <c r="AF51" s="10">
        <f t="shared" si="8"/>
        <v>-645.06068669692161</v>
      </c>
      <c r="AG51" s="10">
        <f t="shared" si="21"/>
        <v>-75.910102176892096</v>
      </c>
      <c r="AH51" s="10">
        <f t="shared" si="22"/>
        <v>-645.06042759672414</v>
      </c>
      <c r="AI51">
        <f t="shared" si="9"/>
        <v>11684.332679927302</v>
      </c>
      <c r="AJ51">
        <f t="shared" si="10"/>
        <v>2921.0831699818254</v>
      </c>
      <c r="AK51" s="10">
        <f t="shared" si="11"/>
        <v>4323.2030915730984</v>
      </c>
      <c r="AL51" s="4">
        <f t="shared" si="23"/>
        <v>0.61728395061728403</v>
      </c>
      <c r="AM51">
        <f t="shared" si="12"/>
        <v>11684.332679927302</v>
      </c>
      <c r="AN51" s="10">
        <f t="shared" si="46"/>
        <v>2996.9932721587174</v>
      </c>
      <c r="AO51" s="10">
        <f t="shared" si="24"/>
        <v>4968.2635191698228</v>
      </c>
      <c r="AP51" s="10">
        <f t="shared" si="25"/>
        <v>7965.2567913285402</v>
      </c>
      <c r="AQ51" s="9">
        <f t="shared" si="26"/>
        <v>0.37625821121315578</v>
      </c>
      <c r="AR51" s="9">
        <f t="shared" si="27"/>
        <v>0.62374178878684416</v>
      </c>
      <c r="AS51">
        <f t="shared" si="39"/>
        <v>11684.332679927302</v>
      </c>
      <c r="AT51">
        <f t="shared" si="40"/>
        <v>2996.9932721587174</v>
      </c>
      <c r="AU51">
        <f t="shared" si="41"/>
        <v>4968.2635191698209</v>
      </c>
      <c r="AV51">
        <f t="shared" si="31"/>
        <v>0.59463495138255096</v>
      </c>
      <c r="AW51">
        <f t="shared" si="32"/>
        <v>0.15252192808113535</v>
      </c>
      <c r="AX51">
        <f t="shared" si="33"/>
        <v>0.25284312053631369</v>
      </c>
      <c r="AY51" s="3">
        <f t="shared" si="13"/>
        <v>4.5310617336113398E-2</v>
      </c>
      <c r="AZ51">
        <f t="shared" si="14"/>
        <v>1.2210058712022629E-2</v>
      </c>
      <c r="BA51" s="11">
        <f t="shared" si="34"/>
        <v>3.9205587980102083E-2</v>
      </c>
    </row>
    <row r="52" spans="8:53" x14ac:dyDescent="0.2">
      <c r="H52" s="10">
        <f t="shared" si="35"/>
        <v>48</v>
      </c>
      <c r="I52">
        <f t="shared" si="15"/>
        <v>0</v>
      </c>
      <c r="J52">
        <f t="shared" si="16"/>
        <v>1E-4</v>
      </c>
      <c r="K52">
        <f t="shared" si="17"/>
        <v>-250</v>
      </c>
      <c r="L52" s="9">
        <f t="shared" si="0"/>
        <v>0.18311829683587319</v>
      </c>
      <c r="M52" s="11">
        <f t="shared" si="1"/>
        <v>0.38653760856489122</v>
      </c>
      <c r="N52" s="10">
        <f>SUMPRODUCT(I53:I$54, L53:L$54) / L52</f>
        <v>0</v>
      </c>
      <c r="O52" s="10">
        <f>SUMPRODUCT(J53:J$54, M53:M$54) / M52</f>
        <v>1.9415609381007303E-4</v>
      </c>
      <c r="P52" s="10">
        <f>SUMPRODUCT(K53:K$54, M53:M$54) / M52</f>
        <v>-485.39023452518256</v>
      </c>
      <c r="Q52" s="10" cm="1">
        <f t="array" ref="Q52">IF($H52 &gt;= $B$12 - 1, 0, SUMPRODUCT(I53:I$54*L53:L$54, $H53:$H$54 - $H52) / L52 /N52) / (1 + $B$10)</f>
        <v>0</v>
      </c>
      <c r="R52" s="10" cm="1">
        <f t="array" ref="R52">SUMPRODUCT(J53:J$54*L53:L$54, $H53:$H$54 - $H52) / L52 /O52 / (1 + $B$10)</f>
        <v>1.4283382244695753</v>
      </c>
      <c r="S52" s="10" cm="1">
        <f t="array" ref="S52">SUMPRODUCT(K53:K$54*M53:M$54, $H53:$H$54 - $H52) / M52 /P52 / (1 + $B$10)</f>
        <v>1.4657348087749953</v>
      </c>
      <c r="T52" s="10">
        <f t="shared" si="36"/>
        <v>0</v>
      </c>
      <c r="U52" s="10">
        <f t="shared" si="37"/>
        <v>-249.9999</v>
      </c>
      <c r="V52" s="10">
        <f t="shared" si="18"/>
        <v>-485.39004036908875</v>
      </c>
      <c r="W52">
        <f t="shared" si="45"/>
        <v>20169.963280044049</v>
      </c>
      <c r="X52" s="10">
        <f t="shared" ref="X52:X54" si="47">V52 + W52</f>
        <v>19684.573239674959</v>
      </c>
      <c r="Y52" s="10">
        <f t="shared" si="2"/>
        <v>0</v>
      </c>
      <c r="Z52">
        <f t="shared" si="3"/>
        <v>0</v>
      </c>
      <c r="AA52" s="10">
        <f t="shared" si="4"/>
        <v>0</v>
      </c>
      <c r="AB52" s="10">
        <f t="shared" si="5"/>
        <v>0</v>
      </c>
      <c r="AC52" s="10">
        <f t="shared" si="6"/>
        <v>1.499030109743935E-5</v>
      </c>
      <c r="AD52" s="10">
        <f t="shared" si="7"/>
        <v>1.7916579271263369E-4</v>
      </c>
      <c r="AE52">
        <f t="shared" si="20"/>
        <v>-38.456938518001003</v>
      </c>
      <c r="AF52" s="10">
        <f t="shared" si="8"/>
        <v>-446.93329600718158</v>
      </c>
      <c r="AG52" s="10">
        <f t="shared" si="21"/>
        <v>-38.456923527699907</v>
      </c>
      <c r="AH52" s="10">
        <f t="shared" si="22"/>
        <v>-446.93311684138888</v>
      </c>
      <c r="AI52">
        <f t="shared" si="9"/>
        <v>12150.971135601829</v>
      </c>
      <c r="AJ52">
        <f t="shared" si="10"/>
        <v>3037.7427839004572</v>
      </c>
      <c r="AK52" s="10">
        <f t="shared" si="11"/>
        <v>4495.8593201726726</v>
      </c>
      <c r="AL52" s="4">
        <f t="shared" si="23"/>
        <v>0.61728395061728403</v>
      </c>
      <c r="AM52">
        <f t="shared" si="12"/>
        <v>12150.971135601829</v>
      </c>
      <c r="AN52" s="10">
        <f t="shared" si="46"/>
        <v>3076.1997074281571</v>
      </c>
      <c r="AO52" s="10">
        <f t="shared" si="24"/>
        <v>4942.7924370140618</v>
      </c>
      <c r="AP52" s="10">
        <f t="shared" si="25"/>
        <v>8018.9921444422189</v>
      </c>
      <c r="AQ52" s="9">
        <f t="shared" si="26"/>
        <v>0.38361425625790158</v>
      </c>
      <c r="AR52" s="9">
        <f t="shared" si="27"/>
        <v>0.61638574374209842</v>
      </c>
      <c r="AS52">
        <f t="shared" si="39"/>
        <v>12150.971135601829</v>
      </c>
      <c r="AT52">
        <f t="shared" si="40"/>
        <v>3076.1997074281571</v>
      </c>
      <c r="AU52">
        <f t="shared" si="41"/>
        <v>4942.7924370140627</v>
      </c>
      <c r="AV52">
        <f t="shared" si="31"/>
        <v>0.60242901620073219</v>
      </c>
      <c r="AW52">
        <f t="shared" si="32"/>
        <v>0.15251389725987835</v>
      </c>
      <c r="AX52">
        <f t="shared" si="33"/>
        <v>0.24505708653938948</v>
      </c>
      <c r="AY52" s="3">
        <f t="shared" si="13"/>
        <v>4.5622299620628075E-2</v>
      </c>
      <c r="AZ52">
        <f t="shared" si="14"/>
        <v>1.251227115274251E-2</v>
      </c>
      <c r="BA52" s="11">
        <f t="shared" si="34"/>
        <v>3.9366164044256823E-2</v>
      </c>
    </row>
    <row r="53" spans="8:53" x14ac:dyDescent="0.2">
      <c r="H53" s="10">
        <f t="shared" si="35"/>
        <v>49</v>
      </c>
      <c r="I53">
        <f t="shared" si="15"/>
        <v>0</v>
      </c>
      <c r="J53">
        <f t="shared" si="16"/>
        <v>1E-4</v>
      </c>
      <c r="K53">
        <f t="shared" si="17"/>
        <v>-250</v>
      </c>
      <c r="L53" s="9">
        <f t="shared" si="0"/>
        <v>0.17675511277593939</v>
      </c>
      <c r="M53" s="11">
        <f t="shared" si="1"/>
        <v>0.37895843976950117</v>
      </c>
      <c r="N53" s="10">
        <f>SUMPRODUCT(I54:I$54, L54:L$54) / L53</f>
        <v>0</v>
      </c>
      <c r="O53" s="10">
        <f>SUMPRODUCT(J54:J$54, M54:M$54) / M53</f>
        <v>9.8039215686274519E-5</v>
      </c>
      <c r="P53" s="10">
        <f>SUMPRODUCT(K54:K$54, M54:M$54) / M53</f>
        <v>-245.09803921568627</v>
      </c>
      <c r="Q53" s="10" cm="1">
        <f t="array" ref="Q53">IF($H53 &gt;= $B$12 - 1, 0, SUMPRODUCT(I54:I$54*L54:L$54, $H54:$H$54 - $H53) / L53 /N53) / (1 + $B$10)</f>
        <v>0</v>
      </c>
      <c r="R53" s="10" cm="1">
        <f t="array" ref="R53">SUMPRODUCT(J54:J$54*L54:L$54, $H54:$H$54 - $H53) / L53 /O53 / (1 + $B$10)</f>
        <v>0.9652509652509651</v>
      </c>
      <c r="S53" s="10" cm="1">
        <f t="array" ref="S53">SUMPRODUCT(K54:K$54*M54:M$54, $H54:$H$54 - $H53) / M53 /P53 / (1 + $B$10)</f>
        <v>0.98039215686274506</v>
      </c>
      <c r="T53" s="10">
        <f t="shared" si="36"/>
        <v>0</v>
      </c>
      <c r="U53" s="10">
        <f t="shared" si="37"/>
        <v>-249.9999</v>
      </c>
      <c r="V53" s="10">
        <f t="shared" si="18"/>
        <v>-245.09794117647058</v>
      </c>
      <c r="W53">
        <f t="shared" si="45"/>
        <v>20713.9774632929</v>
      </c>
      <c r="X53" s="10">
        <f t="shared" si="47"/>
        <v>20468.879522116429</v>
      </c>
      <c r="Y53" s="10">
        <f t="shared" si="2"/>
        <v>0</v>
      </c>
      <c r="Z53">
        <f t="shared" si="3"/>
        <v>0</v>
      </c>
      <c r="AA53" s="10">
        <f t="shared" si="4"/>
        <v>0</v>
      </c>
      <c r="AB53" s="10">
        <f t="shared" si="5"/>
        <v>0</v>
      </c>
      <c r="AC53" s="10">
        <f t="shared" si="6"/>
        <v>5.1152674364121103E-6</v>
      </c>
      <c r="AD53" s="10">
        <f t="shared" si="7"/>
        <v>9.2923948249862411E-5</v>
      </c>
      <c r="AE53">
        <f t="shared" si="20"/>
        <v>-12.988767314026829</v>
      </c>
      <c r="AF53" s="10">
        <f t="shared" si="8"/>
        <v>-232.10927190165944</v>
      </c>
      <c r="AG53" s="10">
        <f t="shared" si="21"/>
        <v>-12.988762198759392</v>
      </c>
      <c r="AH53" s="10">
        <f t="shared" si="22"/>
        <v>-232.1091789777112</v>
      </c>
      <c r="AI53">
        <f t="shared" si="9"/>
        <v>12635.110816121254</v>
      </c>
      <c r="AJ53">
        <f t="shared" si="10"/>
        <v>3158.7777040303135</v>
      </c>
      <c r="AK53" s="10">
        <f t="shared" si="11"/>
        <v>4674.9910019648614</v>
      </c>
      <c r="AL53" s="4">
        <f t="shared" si="23"/>
        <v>0.61728395061728403</v>
      </c>
      <c r="AM53">
        <f t="shared" si="12"/>
        <v>12635.110816121254</v>
      </c>
      <c r="AN53" s="10">
        <f t="shared" si="46"/>
        <v>3171.7664662290731</v>
      </c>
      <c r="AO53" s="10">
        <f t="shared" si="24"/>
        <v>4907.1001809425725</v>
      </c>
      <c r="AP53" s="10">
        <f t="shared" si="25"/>
        <v>8078.866647171646</v>
      </c>
      <c r="AQ53" s="9">
        <f t="shared" si="26"/>
        <v>0.39260042339472034</v>
      </c>
      <c r="AR53" s="9">
        <f t="shared" si="27"/>
        <v>0.60739957660527955</v>
      </c>
      <c r="AS53">
        <f t="shared" si="39"/>
        <v>12635.110816121254</v>
      </c>
      <c r="AT53">
        <f t="shared" si="40"/>
        <v>3171.7664662290731</v>
      </c>
      <c r="AU53">
        <f t="shared" si="41"/>
        <v>4907.1001809425725</v>
      </c>
      <c r="AV53">
        <f t="shared" si="31"/>
        <v>0.60997994414698231</v>
      </c>
      <c r="AW53">
        <f t="shared" si="32"/>
        <v>0.1531220390603272</v>
      </c>
      <c r="AX53">
        <f t="shared" si="33"/>
        <v>0.23689801679269043</v>
      </c>
      <c r="AY53" s="3">
        <f t="shared" si="13"/>
        <v>4.5930418156482564E-2</v>
      </c>
      <c r="AZ53">
        <f t="shared" si="14"/>
        <v>1.2814909271884556E-2</v>
      </c>
      <c r="BA53" s="11">
        <f t="shared" si="34"/>
        <v>3.9522963520540286E-2</v>
      </c>
    </row>
    <row r="54" spans="8:53" x14ac:dyDescent="0.2">
      <c r="H54" s="10">
        <f t="shared" si="35"/>
        <v>50</v>
      </c>
      <c r="I54">
        <f t="shared" si="15"/>
        <v>0</v>
      </c>
      <c r="J54">
        <f t="shared" si="16"/>
        <v>1E-4</v>
      </c>
      <c r="K54">
        <f t="shared" si="17"/>
        <v>-250</v>
      </c>
      <c r="L54" s="9">
        <f t="shared" si="0"/>
        <v>0.17061304322001869</v>
      </c>
      <c r="M54" s="11">
        <f t="shared" si="1"/>
        <v>0.37152788212696192</v>
      </c>
      <c r="N54" s="10">
        <f>SUMPRODUCT(I$54:I55, L$54:L55) / L54</f>
        <v>0</v>
      </c>
      <c r="O54" s="10">
        <f>SUMPRODUCT(J$54:J55, M$54:M55) / M54</f>
        <v>1E-4</v>
      </c>
      <c r="P54" s="10">
        <f>SUMPRODUCT(K$54:K55, M$54:M55) / M54</f>
        <v>-250</v>
      </c>
      <c r="Q54" s="10" cm="1">
        <f t="array" ref="Q54">IF($H54 &gt;= $B$12 - 1, 0, SUMPRODUCT(I$54:I55*L$54:L55, $H$54:$H55 - $H54) / L54 /N54) / (1 + $B$10)</f>
        <v>0</v>
      </c>
      <c r="R54" s="10" cm="1">
        <f t="array" ref="R54">SUMPRODUCT(J$54:J55*L$54:L55, $H$54:$H55 - $H54) / L54 /O54 / (1 + $B$10)</f>
        <v>0</v>
      </c>
      <c r="S54" s="10" cm="1">
        <f t="array" ref="S54">SUMPRODUCT(K$54:K55*M$54:M55, $H$54:$H55 - $H54) / M54 /P54 / (1 + $B$10)</f>
        <v>0</v>
      </c>
      <c r="T54" s="10">
        <f t="shared" si="36"/>
        <v>0</v>
      </c>
      <c r="U54" s="10">
        <f t="shared" si="37"/>
        <v>-249.9999</v>
      </c>
      <c r="V54" s="10">
        <f t="shared" si="18"/>
        <v>-249.9999</v>
      </c>
      <c r="W54">
        <f t="shared" si="45"/>
        <v>21282.65533893992</v>
      </c>
      <c r="X54" s="10">
        <f t="shared" si="47"/>
        <v>21032.655438939921</v>
      </c>
      <c r="Y54" s="10">
        <f t="shared" si="2"/>
        <v>0</v>
      </c>
      <c r="Z54">
        <f t="shared" si="3"/>
        <v>0</v>
      </c>
      <c r="AA54" s="10">
        <f t="shared" si="4"/>
        <v>0</v>
      </c>
      <c r="AB54" s="10">
        <f t="shared" si="5"/>
        <v>0</v>
      </c>
      <c r="AC54" s="10">
        <f t="shared" si="6"/>
        <v>0</v>
      </c>
      <c r="AD54" s="10">
        <f t="shared" si="7"/>
        <v>1E-4</v>
      </c>
      <c r="AE54">
        <f t="shared" si="20"/>
        <v>0</v>
      </c>
      <c r="AF54" s="10">
        <f t="shared" si="8"/>
        <v>-250</v>
      </c>
      <c r="AG54" s="10">
        <f t="shared" si="21"/>
        <v>0</v>
      </c>
      <c r="AH54" s="10">
        <f t="shared" si="22"/>
        <v>-249.9999</v>
      </c>
      <c r="AI54">
        <f t="shared" si="9"/>
        <v>12983.12064132094</v>
      </c>
      <c r="AJ54">
        <f t="shared" si="10"/>
        <v>3245.780160330235</v>
      </c>
      <c r="AK54" s="10">
        <f t="shared" si="11"/>
        <v>4803.7546372887455</v>
      </c>
      <c r="AL54" s="4">
        <f t="shared" si="23"/>
        <v>0.61728395061728403</v>
      </c>
      <c r="AM54">
        <f t="shared" si="12"/>
        <v>12983.12064132094</v>
      </c>
      <c r="AN54" s="10">
        <f t="shared" si="46"/>
        <v>3245.780160330235</v>
      </c>
      <c r="AO54" s="10">
        <f t="shared" si="24"/>
        <v>5053.7545372887453</v>
      </c>
      <c r="AP54" s="10">
        <f t="shared" si="25"/>
        <v>8299.5346976189794</v>
      </c>
      <c r="AQ54" s="9">
        <f t="shared" si="26"/>
        <v>0.39107977478079631</v>
      </c>
      <c r="AR54" s="9">
        <f t="shared" si="27"/>
        <v>0.60892022521920375</v>
      </c>
      <c r="AS54">
        <f t="shared" si="39"/>
        <v>12983.12064132094</v>
      </c>
      <c r="AT54">
        <f t="shared" si="40"/>
        <v>3245.780160330235</v>
      </c>
      <c r="AU54">
        <f t="shared" si="41"/>
        <v>5053.7545372887444</v>
      </c>
      <c r="AV54">
        <f t="shared" si="31"/>
        <v>0.61003293219555677</v>
      </c>
      <c r="AW54">
        <f t="shared" si="32"/>
        <v>0.15250823304888919</v>
      </c>
      <c r="AX54">
        <f t="shared" si="33"/>
        <v>0.23745883475555404</v>
      </c>
      <c r="AY54" s="3">
        <f t="shared" si="13"/>
        <v>4.5926399618311159E-2</v>
      </c>
      <c r="AZ54">
        <f t="shared" si="14"/>
        <v>1.2810925640150019E-2</v>
      </c>
      <c r="BA54" s="11">
        <f t="shared" si="34"/>
        <v>3.952093679823615E-2</v>
      </c>
    </row>
    <row r="55" spans="8:53" x14ac:dyDescent="0.2">
      <c r="H55" s="9"/>
    </row>
    <row r="56" spans="8:53" x14ac:dyDescent="0.2">
      <c r="H56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0D0B-9B7E-1540-BF78-539B4523471E}">
  <dimension ref="A1:BA56"/>
  <sheetViews>
    <sheetView zoomScale="113" workbookViewId="0">
      <selection activeCell="L15" sqref="L15"/>
    </sheetView>
  </sheetViews>
  <sheetFormatPr baseColWidth="10" defaultRowHeight="16" x14ac:dyDescent="0.2"/>
  <cols>
    <col min="1" max="1" width="14" bestFit="1" customWidth="1"/>
    <col min="2" max="2" width="13.83203125" customWidth="1"/>
    <col min="3" max="3" width="16.83203125" bestFit="1" customWidth="1"/>
    <col min="6" max="6" width="2.83203125" customWidth="1"/>
    <col min="12" max="12" width="15.1640625" customWidth="1"/>
    <col min="13" max="13" width="14.33203125" bestFit="1" customWidth="1"/>
    <col min="14" max="14" width="10.83203125" customWidth="1"/>
    <col min="15" max="15" width="11.33203125" bestFit="1" customWidth="1"/>
    <col min="16" max="20" width="11.33203125" customWidth="1"/>
    <col min="23" max="23" width="10.83203125" customWidth="1"/>
    <col min="24" max="25" width="9.33203125" customWidth="1"/>
    <col min="33" max="33" width="10.83203125" customWidth="1"/>
    <col min="47" max="47" width="13.6640625" bestFit="1" customWidth="1"/>
  </cols>
  <sheetData>
    <row r="1" spans="1:53" x14ac:dyDescent="0.2">
      <c r="A1" s="1" t="s">
        <v>0</v>
      </c>
      <c r="H1" s="1" t="s">
        <v>26</v>
      </c>
      <c r="T1" t="s">
        <v>77</v>
      </c>
    </row>
    <row r="2" spans="1:53" x14ac:dyDescent="0.2">
      <c r="A2" t="s">
        <v>1</v>
      </c>
      <c r="B2" s="7">
        <v>250</v>
      </c>
      <c r="C2" t="s">
        <v>27</v>
      </c>
      <c r="T2">
        <v>1</v>
      </c>
    </row>
    <row r="3" spans="1:53" ht="68" x14ac:dyDescent="0.2">
      <c r="A3" s="13" t="s">
        <v>23</v>
      </c>
      <c r="B3" s="17">
        <v>1E-4</v>
      </c>
      <c r="H3" s="12" t="s">
        <v>25</v>
      </c>
      <c r="I3" s="12" t="s">
        <v>29</v>
      </c>
      <c r="J3" s="12" t="s">
        <v>30</v>
      </c>
      <c r="K3" s="12" t="s">
        <v>2</v>
      </c>
      <c r="L3" s="12" t="s">
        <v>31</v>
      </c>
      <c r="M3" s="12" t="s">
        <v>32</v>
      </c>
      <c r="N3" s="12" t="s">
        <v>28</v>
      </c>
      <c r="O3" s="12" t="s">
        <v>33</v>
      </c>
      <c r="P3" s="12" t="s">
        <v>54</v>
      </c>
      <c r="Q3" s="12" t="s">
        <v>41</v>
      </c>
      <c r="R3" s="12" t="s">
        <v>42</v>
      </c>
      <c r="S3" s="12" t="s">
        <v>46</v>
      </c>
      <c r="T3" s="12" t="s">
        <v>76</v>
      </c>
      <c r="U3" s="12" t="s">
        <v>35</v>
      </c>
      <c r="V3" s="12" t="s">
        <v>71</v>
      </c>
      <c r="W3" s="12" t="s">
        <v>34</v>
      </c>
      <c r="X3" s="12" t="s">
        <v>36</v>
      </c>
      <c r="Y3" s="12" t="s">
        <v>48</v>
      </c>
      <c r="Z3" s="12" t="s">
        <v>47</v>
      </c>
      <c r="AA3" s="12" t="s">
        <v>49</v>
      </c>
      <c r="AB3" s="12" t="s">
        <v>50</v>
      </c>
      <c r="AC3" s="12" t="s">
        <v>51</v>
      </c>
      <c r="AD3" s="12" t="s">
        <v>52</v>
      </c>
      <c r="AE3" s="12" t="s">
        <v>53</v>
      </c>
      <c r="AF3" s="12" t="s">
        <v>55</v>
      </c>
      <c r="AG3" s="12" t="s">
        <v>59</v>
      </c>
      <c r="AH3" s="12" t="s">
        <v>60</v>
      </c>
      <c r="AI3" s="12" t="s">
        <v>37</v>
      </c>
      <c r="AJ3" s="12" t="s">
        <v>38</v>
      </c>
      <c r="AK3" s="12" t="s">
        <v>39</v>
      </c>
      <c r="AL3" s="12" t="s">
        <v>70</v>
      </c>
      <c r="AM3" s="12" t="s">
        <v>56</v>
      </c>
      <c r="AN3" s="12" t="s">
        <v>57</v>
      </c>
      <c r="AO3" s="12" t="s">
        <v>58</v>
      </c>
      <c r="AP3" s="12" t="s">
        <v>72</v>
      </c>
      <c r="AQ3" s="12" t="s">
        <v>74</v>
      </c>
      <c r="AR3" s="12" t="s">
        <v>75</v>
      </c>
      <c r="AS3" s="12" t="s">
        <v>61</v>
      </c>
      <c r="AT3" s="12" t="s">
        <v>62</v>
      </c>
      <c r="AU3" s="12" t="s">
        <v>63</v>
      </c>
      <c r="AV3" s="12" t="s">
        <v>64</v>
      </c>
      <c r="AW3" s="12" t="s">
        <v>65</v>
      </c>
      <c r="AX3" s="12" t="s">
        <v>66</v>
      </c>
      <c r="AY3" s="12" t="s">
        <v>67</v>
      </c>
      <c r="AZ3" s="12" t="s">
        <v>68</v>
      </c>
      <c r="BA3" s="12" t="s">
        <v>69</v>
      </c>
    </row>
    <row r="4" spans="1:53" x14ac:dyDescent="0.2">
      <c r="A4" t="s">
        <v>2</v>
      </c>
      <c r="B4" s="7">
        <v>100</v>
      </c>
      <c r="H4" s="10">
        <f>B11</f>
        <v>0</v>
      </c>
      <c r="I4">
        <f>IF($H4 = $B$11, 0, IF($H4 &lt; $B$12, $B$2,0))</f>
        <v>0</v>
      </c>
      <c r="J4">
        <f>IF($H4 = $B$11, 0, IF($H4 &gt;= $B$12, $B$3,0))</f>
        <v>0</v>
      </c>
      <c r="K4">
        <f>-IF($H4 = $B$11, 0, IF($H4 &gt;= $B$12, $B$6,$B$4))</f>
        <v>0</v>
      </c>
      <c r="L4" s="9">
        <f t="shared" ref="L4:L54" si="0">(1+$B$21)^($B$11-H4)</f>
        <v>1</v>
      </c>
      <c r="M4" s="11">
        <f t="shared" ref="M4:M54" si="1">(1 +$B$22) ^ (-(H4 - $B$11))</f>
        <v>1</v>
      </c>
      <c r="N4" s="10">
        <f>SUMPRODUCT(I5:I$54, L5:L$54) / L4</f>
        <v>6249.6548330087844</v>
      </c>
      <c r="O4" s="10">
        <f>SUMPRODUCT(J5:J$54, M5:M$54) / M4</f>
        <v>6.4249865616167721E-4</v>
      </c>
      <c r="P4" s="10">
        <f>SUMPRODUCT(K5:K$54, M5:M$54) / M4</f>
        <v>-3142.3605893651907</v>
      </c>
      <c r="Q4" s="10" cm="1">
        <f t="array" ref="Q4">IF($H4 &gt;= $B$12 - 1, 0, SUMPRODUCT(I5:I$54*L5:L$54, $H5:$H$54 - $H4) / L4 /N4) / (1 + $B$10)</f>
        <v>15.682484231556147</v>
      </c>
      <c r="R4" s="10" cm="1">
        <f t="array" ref="R4">SUMPRODUCT(J5:J$54*L5:L$54, $H5:$H$54 - $H4) / L4 /O4 / (1 + $B$10)</f>
        <v>41.79499589442834</v>
      </c>
      <c r="S4" s="10" cm="1">
        <f t="array" ref="S4">SUMPRODUCT(K5:K$54*M5:M$54, $H5:$H$54 - $H4) / M4 /P4 / (1 + $B$10)</f>
        <v>21.021544843880971</v>
      </c>
      <c r="T4" s="10">
        <v>0</v>
      </c>
      <c r="U4">
        <f>I4+J4+K4</f>
        <v>0</v>
      </c>
      <c r="V4" s="10">
        <f>SUM(N4:P4)</f>
        <v>3107.2948861422497</v>
      </c>
      <c r="W4">
        <f>U4 + B5</f>
        <v>100</v>
      </c>
      <c r="X4" s="10">
        <f>V4 + W4</f>
        <v>3207.2948861422497</v>
      </c>
      <c r="Y4" s="10">
        <f t="shared" ref="Y4:Y54" si="2">N4-Z4</f>
        <v>6249.6548330087844</v>
      </c>
      <c r="Z4">
        <f t="shared" ref="Z4:Z54" si="3">N4 * $B$9</f>
        <v>0</v>
      </c>
      <c r="AA4" s="10">
        <f t="shared" ref="AA4:AA54" si="4">Q4 / $B$17 * Y4</f>
        <v>5297.8439660177801</v>
      </c>
      <c r="AB4" s="10">
        <f t="shared" ref="AB4:AB54" si="5">Y4 - AA4</f>
        <v>951.81086699100433</v>
      </c>
      <c r="AC4" s="10">
        <f t="shared" ref="AC4:AC54" si="6">R4/$B$17 * O4</f>
        <v>1.4515258754839472E-3</v>
      </c>
      <c r="AD4" s="10">
        <f t="shared" ref="AD4:AD54" si="7">O4-AC4</f>
        <v>-8.0902721932227001E-4</v>
      </c>
      <c r="AE4">
        <f>S4/$B$17 * P4</f>
        <v>-3570.6634618910589</v>
      </c>
      <c r="AF4" s="10">
        <f t="shared" ref="AF4:AF54" si="8">P4-AE4</f>
        <v>428.30287252586822</v>
      </c>
      <c r="AG4" s="10">
        <f>AA4 + AC4 + AE4</f>
        <v>1727.1819556525966</v>
      </c>
      <c r="AH4" s="10">
        <f>AF4 + AD4 + AB4</f>
        <v>1380.1129304896533</v>
      </c>
      <c r="AI4">
        <f t="shared" ref="AI4:AI54" si="9">$B$30 * X4</f>
        <v>1979.8116581125</v>
      </c>
      <c r="AJ4">
        <f t="shared" ref="AJ4:AJ54" si="10">X4 * $B$31</f>
        <v>494.95291452812501</v>
      </c>
      <c r="AK4" s="10">
        <f t="shared" ref="AK4:AK54" si="11">X4 - AI4 - AJ4</f>
        <v>732.53031350162462</v>
      </c>
      <c r="AL4" s="4">
        <f>AI4/SUM(AI4:AK4)</f>
        <v>0.61728395061728403</v>
      </c>
      <c r="AM4">
        <f t="shared" ref="AM4:AM54" si="12">AI4 - Z4</f>
        <v>1979.8116581125</v>
      </c>
      <c r="AN4" s="10">
        <f>AJ4 - AG4</f>
        <v>-1232.2290411244717</v>
      </c>
      <c r="AO4" s="10">
        <f>AK4 - AH4</f>
        <v>-647.58261698802869</v>
      </c>
      <c r="AP4" s="10">
        <f>SUM(AN4:AO4)</f>
        <v>-1879.8116581125005</v>
      </c>
      <c r="AQ4" s="9">
        <f>MAX(0, MIN(AN4/AP4, 1))</f>
        <v>0.65550664919364321</v>
      </c>
      <c r="AR4" s="9">
        <f>MAX(0,MIN(AO4/AP4, 1))</f>
        <v>0.34449335080635668</v>
      </c>
      <c r="AS4">
        <f>MAX(MIN($W4,AM4), 0)</f>
        <v>100</v>
      </c>
      <c r="AT4">
        <f>MIN(IF(AP4 &lt; 0, 0, AQ4 * AP4),W4)</f>
        <v>0</v>
      </c>
      <c r="AU4">
        <f>W4-AS4-AT4</f>
        <v>0</v>
      </c>
      <c r="AV4">
        <f>IF(AM4 &gt; W4, 1, AS4 / SUM($AS4:$AU4))</f>
        <v>1</v>
      </c>
      <c r="AW4">
        <f>IF(AV4 = 1, 0, AT4 / SUM($AS4:$AU4))</f>
        <v>0</v>
      </c>
      <c r="AX4">
        <f>IF(AV4 = 1, 0, AU4 / SUM($AS4:$AU4))</f>
        <v>0</v>
      </c>
      <c r="AY4" s="3">
        <f t="shared" ref="AY4:AY54" si="13">AV4*$B$15+$B$16*AW4 + $B$10</f>
        <v>0.06</v>
      </c>
      <c r="AZ4">
        <f t="shared" ref="AZ4:AZ54" si="14">$C$15^2 * AV4^2 + AW4^2 * $C$16^2 + 2 * $C$15 * $C$16 * $D$15 * AV4 * AW4</f>
        <v>3.2399999999999998E-2</v>
      </c>
      <c r="BA4" s="11">
        <f>AY4 - 1/2 * AZ4</f>
        <v>4.3799999999999999E-2</v>
      </c>
    </row>
    <row r="5" spans="1:53" x14ac:dyDescent="0.2">
      <c r="A5" t="s">
        <v>73</v>
      </c>
      <c r="B5" s="7">
        <v>100</v>
      </c>
      <c r="H5" s="10">
        <f>H4+1</f>
        <v>1</v>
      </c>
      <c r="I5">
        <f t="shared" ref="I5:I54" si="15">IF($H5 = $B$11, 0, IF($H5 &lt; $B$12, $B$2,0))</f>
        <v>250</v>
      </c>
      <c r="J5">
        <f t="shared" ref="J5:J54" si="16">IF($H5 = $B$11, 0, IF($H5 &gt;= $B$12, $B$3,0))</f>
        <v>0</v>
      </c>
      <c r="K5">
        <f t="shared" ref="K5:K54" si="17">-IF($H5 = $B$11, 0, IF($H5 &gt;= $B$12, $B$6,$B$4))</f>
        <v>-100</v>
      </c>
      <c r="L5" s="9">
        <f t="shared" si="0"/>
        <v>0.98039215686274506</v>
      </c>
      <c r="M5" s="11">
        <f t="shared" si="1"/>
        <v>0.98039215686274506</v>
      </c>
      <c r="N5" s="10">
        <f>SUMPRODUCT(I6:I$54, L6:L$54) / L5</f>
        <v>6124.6479296689604</v>
      </c>
      <c r="O5" s="10">
        <f>SUMPRODUCT(J6:J$54, M6:M$54) / M5</f>
        <v>6.5534862928491079E-4</v>
      </c>
      <c r="P5" s="10">
        <f>SUMPRODUCT(K6:K$54, M6:M$54) / M5</f>
        <v>-3105.2078011524945</v>
      </c>
      <c r="Q5" s="10" cm="1">
        <f t="array" ref="Q5">IF($H5 &gt;= $B$12 - 1, 0, SUMPRODUCT(I6:I$54*L6:L$54, $H6:$H$54 - $H5) / L5 /N5) / (1 + $B$10)</f>
        <v>15.302211960910602</v>
      </c>
      <c r="R5" s="10" cm="1">
        <f t="array" ref="R5">SUMPRODUCT(J6:J$54*L6:L$54, $H6:$H$54 - $H5) / L5 /O5 / (1 + $B$10)</f>
        <v>40.814603737565591</v>
      </c>
      <c r="S5" s="10" cm="1">
        <f t="array" ref="S5">SUMPRODUCT(K6:K$54*M6:M$54, $H6:$H$54 - $H5) / M5 /P5 / (1 + $B$10)</f>
        <v>20.686557245115111</v>
      </c>
      <c r="T5" s="10">
        <f>-$B$34 * X4 * $T$2</f>
        <v>-127.25239432518093</v>
      </c>
      <c r="U5" s="10">
        <f>I5+J5+K5+T5</f>
        <v>22.74760567481907</v>
      </c>
      <c r="V5" s="10">
        <f t="shared" ref="V5:V54" si="18">SUM(N5:P5)</f>
        <v>3019.440783865095</v>
      </c>
      <c r="W5">
        <f>W4 * (1+BA4) + U5</f>
        <v>127.12760567481908</v>
      </c>
      <c r="X5" s="10">
        <f t="shared" ref="X5:X32" si="19">V5 + W5</f>
        <v>3146.5683895399143</v>
      </c>
      <c r="Y5" s="10">
        <f t="shared" si="2"/>
        <v>6124.6479296689604</v>
      </c>
      <c r="Z5">
        <f t="shared" si="3"/>
        <v>0</v>
      </c>
      <c r="AA5" s="10">
        <f t="shared" si="4"/>
        <v>5065.9816651754991</v>
      </c>
      <c r="AB5" s="10">
        <f t="shared" si="5"/>
        <v>1058.6662644934613</v>
      </c>
      <c r="AC5" s="10">
        <f t="shared" si="6"/>
        <v>1.4458267359038059E-3</v>
      </c>
      <c r="AD5" s="10">
        <f t="shared" si="7"/>
        <v>-7.9047810661889509E-4</v>
      </c>
      <c r="AE5">
        <f t="shared" ref="AE5:AE54" si="20">S5/$B$17 * P5</f>
        <v>-3472.2194019740055</v>
      </c>
      <c r="AF5" s="10">
        <f t="shared" si="8"/>
        <v>367.01160082151091</v>
      </c>
      <c r="AG5" s="10">
        <f t="shared" ref="AG5:AG54" si="21">AA5 + AC5 + AE5</f>
        <v>1593.7637090282296</v>
      </c>
      <c r="AH5" s="10">
        <f t="shared" ref="AH5:AH54" si="22">AF5 + AD5 + AB5</f>
        <v>1425.6770748368656</v>
      </c>
      <c r="AI5">
        <f t="shared" si="9"/>
        <v>1942.3261663826634</v>
      </c>
      <c r="AJ5">
        <f t="shared" si="10"/>
        <v>485.58154159566584</v>
      </c>
      <c r="AK5" s="10">
        <f t="shared" si="11"/>
        <v>718.66068156158508</v>
      </c>
      <c r="AL5" s="4">
        <f t="shared" ref="AL5:AL54" si="23">AI5/SUM(AI5:AK5)</f>
        <v>0.61728395061728403</v>
      </c>
      <c r="AM5">
        <f t="shared" si="12"/>
        <v>1942.3261663826634</v>
      </c>
      <c r="AN5" s="10">
        <f t="shared" ref="AN5:AO54" si="24">AJ5 - AG5</f>
        <v>-1108.1821674325638</v>
      </c>
      <c r="AO5" s="10">
        <f t="shared" si="24"/>
        <v>-707.01639327528051</v>
      </c>
      <c r="AP5" s="10">
        <f t="shared" ref="AP5:AP54" si="25">SUM(AN5:AO5)</f>
        <v>-1815.1985607078443</v>
      </c>
      <c r="AQ5" s="9">
        <f t="shared" ref="AQ5:AQ54" si="26">MAX(0, MIN(AN5/AP5, 1))</f>
        <v>0.61050189848124581</v>
      </c>
      <c r="AR5" s="9">
        <f t="shared" ref="AR5:AR54" si="27">MAX(0,MIN(AO5/AP5, 1))</f>
        <v>0.38949810151875425</v>
      </c>
      <c r="AS5">
        <f t="shared" ref="AS5:AS17" si="28">MAX(MIN($W5,AM5), 0)</f>
        <v>127.12760567481908</v>
      </c>
      <c r="AT5">
        <f t="shared" ref="AT5:AT17" si="29">MIN(IF(AP5 &lt; 0, 0, AQ5 * AP5),W5)</f>
        <v>0</v>
      </c>
      <c r="AU5">
        <f t="shared" ref="AU5:AU17" si="30">W5-AS5-AT5</f>
        <v>0</v>
      </c>
      <c r="AV5">
        <f t="shared" ref="AV5:AV54" si="31">IF(AM5 &gt; W5, 1, AS5 / SUM($AS5:$AU5))</f>
        <v>1</v>
      </c>
      <c r="AW5">
        <f t="shared" ref="AW5:AW54" si="32">IF(AV5 = 1, 0, AT5 / SUM($AS5:$AU5))</f>
        <v>0</v>
      </c>
      <c r="AX5">
        <f t="shared" ref="AX5:AX54" si="33">IF(AV5 = 1, 0, AU5 / SUM($AS5:$AU5))</f>
        <v>0</v>
      </c>
      <c r="AY5" s="3">
        <f t="shared" si="13"/>
        <v>0.06</v>
      </c>
      <c r="AZ5">
        <f t="shared" si="14"/>
        <v>3.2399999999999998E-2</v>
      </c>
      <c r="BA5" s="11">
        <f t="shared" ref="BA5:BA54" si="34">AY5 - 1/2 * AZ5</f>
        <v>4.3799999999999999E-2</v>
      </c>
    </row>
    <row r="6" spans="1:53" x14ac:dyDescent="0.2">
      <c r="A6" t="s">
        <v>22</v>
      </c>
      <c r="B6" s="7">
        <f>B4</f>
        <v>100</v>
      </c>
      <c r="H6" s="10">
        <f t="shared" ref="H6:H54" si="35">H5+1</f>
        <v>2</v>
      </c>
      <c r="I6">
        <f t="shared" si="15"/>
        <v>250</v>
      </c>
      <c r="J6">
        <f t="shared" si="16"/>
        <v>0</v>
      </c>
      <c r="K6">
        <f t="shared" si="17"/>
        <v>-100</v>
      </c>
      <c r="L6" s="9">
        <f t="shared" si="0"/>
        <v>0.96116878123798544</v>
      </c>
      <c r="M6" s="11">
        <f t="shared" si="1"/>
        <v>0.96116878123798544</v>
      </c>
      <c r="N6" s="10">
        <f>SUMPRODUCT(I7:I$54, L7:L$54) / L6</f>
        <v>5997.1408882623391</v>
      </c>
      <c r="O6" s="10">
        <f>SUMPRODUCT(J7:J$54, M7:M$54) / M6</f>
        <v>6.6845560187060889E-4</v>
      </c>
      <c r="P6" s="10">
        <f>SUMPRODUCT(K7:K$54, M7:M$54) / M6</f>
        <v>-3067.3119571755451</v>
      </c>
      <c r="Q6" s="10" cm="1">
        <f t="array" ref="Q6">IF($H6 &gt;= $B$12 - 1, 0, SUMPRODUCT(I7:I$54*L7:L$54, $H7:$H$54 - $H6) / L6 /N6) / (1 + $B$10)</f>
        <v>14.918846790360565</v>
      </c>
      <c r="R6" s="10" cm="1">
        <f t="array" ref="R6">SUMPRODUCT(J7:J$54*L7:L$54, $H7:$H$54 - $H6) / L6 /O6 / (1 + $B$10)</f>
        <v>39.834211580702856</v>
      </c>
      <c r="S6" s="10" cm="1">
        <f t="array" ref="S6">SUMPRODUCT(K7:K$54*M7:M$54, $H7:$H$54 - $H6) / M6 /P6 / (1 + $B$10)</f>
        <v>20.348622241726844</v>
      </c>
      <c r="T6" s="10">
        <f t="shared" ref="T6:T54" si="36">-$B$34 * X5 * $T$2</f>
        <v>-124.84301434424567</v>
      </c>
      <c r="U6" s="10">
        <f t="shared" ref="U6:U54" si="37">I6+J6+K6+T6</f>
        <v>25.156985655754326</v>
      </c>
      <c r="V6" s="10">
        <f t="shared" si="18"/>
        <v>2929.829599542396</v>
      </c>
      <c r="W6">
        <f t="shared" ref="W6:W24" si="38">W5 * (1+BA5) + U6</f>
        <v>157.85278045913049</v>
      </c>
      <c r="X6" s="10">
        <f t="shared" si="19"/>
        <v>3087.6823800015263</v>
      </c>
      <c r="Y6" s="10">
        <f t="shared" si="2"/>
        <v>5997.1408882623391</v>
      </c>
      <c r="Z6">
        <f t="shared" si="3"/>
        <v>0</v>
      </c>
      <c r="AA6" s="10">
        <f t="shared" si="4"/>
        <v>4836.2392482266332</v>
      </c>
      <c r="AB6" s="10">
        <f t="shared" si="5"/>
        <v>1160.9016400357059</v>
      </c>
      <c r="AC6" s="10">
        <f t="shared" si="6"/>
        <v>1.4393190203902651E-3</v>
      </c>
      <c r="AD6" s="10">
        <f t="shared" si="7"/>
        <v>-7.7086341851965621E-4</v>
      </c>
      <c r="AE6">
        <f t="shared" si="20"/>
        <v>-3373.8147196809182</v>
      </c>
      <c r="AF6" s="10">
        <f t="shared" si="8"/>
        <v>306.50276250537308</v>
      </c>
      <c r="AG6" s="10">
        <f t="shared" si="21"/>
        <v>1462.4259678647354</v>
      </c>
      <c r="AH6" s="10">
        <f t="shared" si="22"/>
        <v>1467.4036316776605</v>
      </c>
      <c r="AI6">
        <f t="shared" si="9"/>
        <v>1905.9767777787201</v>
      </c>
      <c r="AJ6">
        <f t="shared" si="10"/>
        <v>476.49419444468003</v>
      </c>
      <c r="AK6" s="10">
        <f t="shared" si="11"/>
        <v>705.21140777812616</v>
      </c>
      <c r="AL6" s="4">
        <f t="shared" si="23"/>
        <v>0.61728395061728403</v>
      </c>
      <c r="AM6">
        <f t="shared" si="12"/>
        <v>1905.9767777787201</v>
      </c>
      <c r="AN6" s="10">
        <f t="shared" si="24"/>
        <v>-985.93177342005538</v>
      </c>
      <c r="AO6" s="10">
        <f t="shared" si="24"/>
        <v>-762.19222389953438</v>
      </c>
      <c r="AP6" s="10">
        <f t="shared" si="25"/>
        <v>-1748.1239973195898</v>
      </c>
      <c r="AQ6" s="9">
        <f t="shared" si="26"/>
        <v>0.56399418744424945</v>
      </c>
      <c r="AR6" s="9">
        <f t="shared" si="27"/>
        <v>0.43600581255575055</v>
      </c>
      <c r="AS6">
        <f t="shared" si="28"/>
        <v>157.85278045913049</v>
      </c>
      <c r="AT6">
        <f t="shared" si="29"/>
        <v>0</v>
      </c>
      <c r="AU6">
        <f t="shared" si="30"/>
        <v>0</v>
      </c>
      <c r="AV6">
        <f t="shared" si="31"/>
        <v>1</v>
      </c>
      <c r="AW6">
        <f t="shared" si="32"/>
        <v>0</v>
      </c>
      <c r="AX6">
        <f t="shared" si="33"/>
        <v>0</v>
      </c>
      <c r="AY6" s="3">
        <f t="shared" si="13"/>
        <v>0.06</v>
      </c>
      <c r="AZ6">
        <f t="shared" si="14"/>
        <v>3.2399999999999998E-2</v>
      </c>
      <c r="BA6" s="11">
        <f t="shared" si="34"/>
        <v>4.3799999999999999E-2</v>
      </c>
    </row>
    <row r="7" spans="1:53" x14ac:dyDescent="0.2">
      <c r="A7" t="s">
        <v>16</v>
      </c>
      <c r="B7" s="7">
        <v>2</v>
      </c>
      <c r="H7" s="10">
        <f t="shared" si="35"/>
        <v>3</v>
      </c>
      <c r="I7">
        <f t="shared" si="15"/>
        <v>250</v>
      </c>
      <c r="J7">
        <f t="shared" si="16"/>
        <v>0</v>
      </c>
      <c r="K7">
        <f t="shared" si="17"/>
        <v>-100</v>
      </c>
      <c r="L7" s="9">
        <f t="shared" si="0"/>
        <v>0.94232233454704462</v>
      </c>
      <c r="M7" s="11">
        <f t="shared" si="1"/>
        <v>0.94232233454704462</v>
      </c>
      <c r="N7" s="10">
        <f>SUMPRODUCT(I8:I$54, L8:L$54) / L7</f>
        <v>5867.0837060275853</v>
      </c>
      <c r="O7" s="10">
        <f>SUMPRODUCT(J8:J$54, M8:M$54) / M7</f>
        <v>6.8182471390802106E-4</v>
      </c>
      <c r="P7" s="10">
        <f>SUMPRODUCT(K8:K$54, M8:M$54) / M7</f>
        <v>-3028.6581963190552</v>
      </c>
      <c r="Q7" s="10" cm="1">
        <f t="array" ref="Q7">IF($H7 &gt;= $B$12 - 1, 0, SUMPRODUCT(I8:I$54*L8:L$54, $H8:$H$54 - $H7) / L7 /N7) / (1 + $B$10)</f>
        <v>14.532380650744599</v>
      </c>
      <c r="R7" s="10" cm="1">
        <f t="array" ref="R7">SUMPRODUCT(J8:J$54*L8:L$54, $H8:$H$54 - $H7) / L7 /O7 / (1 + $B$10)</f>
        <v>38.8538194238401</v>
      </c>
      <c r="S7" s="10" cm="1">
        <f t="array" ref="S7">SUMPRODUCT(K8:K$54*M8:M$54, $H8:$H$54 - $H7) / M7 /P7 / (1 + $B$10)</f>
        <v>20.007728794504022</v>
      </c>
      <c r="T7" s="10">
        <f t="shared" si="36"/>
        <v>-122.50665739172723</v>
      </c>
      <c r="U7" s="10">
        <f t="shared" si="37"/>
        <v>27.493342608272769</v>
      </c>
      <c r="V7" s="10">
        <f t="shared" si="18"/>
        <v>2838.426191533244</v>
      </c>
      <c r="W7">
        <f t="shared" si="38"/>
        <v>192.26007485151317</v>
      </c>
      <c r="X7" s="10">
        <f t="shared" si="19"/>
        <v>3030.6862663847573</v>
      </c>
      <c r="Y7" s="10">
        <f t="shared" si="2"/>
        <v>5867.0837060275853</v>
      </c>
      <c r="Z7">
        <f t="shared" si="3"/>
        <v>0</v>
      </c>
      <c r="AA7" s="10">
        <f t="shared" si="4"/>
        <v>4608.7942554472538</v>
      </c>
      <c r="AB7" s="10">
        <f t="shared" si="5"/>
        <v>1258.2894505803315</v>
      </c>
      <c r="AC7" s="10">
        <f t="shared" si="6"/>
        <v>1.4319726655618208E-3</v>
      </c>
      <c r="AD7" s="10">
        <f t="shared" si="7"/>
        <v>-7.5014795165379976E-4</v>
      </c>
      <c r="AE7">
        <f t="shared" si="20"/>
        <v>-3275.4903677407228</v>
      </c>
      <c r="AF7" s="10">
        <f t="shared" si="8"/>
        <v>246.83217142166768</v>
      </c>
      <c r="AG7" s="10">
        <f t="shared" si="21"/>
        <v>1333.3053196791961</v>
      </c>
      <c r="AH7" s="10">
        <f t="shared" si="22"/>
        <v>1505.1208718540474</v>
      </c>
      <c r="AI7">
        <f t="shared" si="9"/>
        <v>1870.7939915955294</v>
      </c>
      <c r="AJ7">
        <f t="shared" si="10"/>
        <v>467.69849789888235</v>
      </c>
      <c r="AK7" s="10">
        <f t="shared" si="11"/>
        <v>692.19377689034559</v>
      </c>
      <c r="AL7" s="4">
        <f t="shared" si="23"/>
        <v>0.61728395061728414</v>
      </c>
      <c r="AM7">
        <f t="shared" si="12"/>
        <v>1870.7939915955294</v>
      </c>
      <c r="AN7" s="10">
        <f t="shared" si="24"/>
        <v>-865.60682178031379</v>
      </c>
      <c r="AO7" s="10">
        <f t="shared" si="24"/>
        <v>-812.92709496370185</v>
      </c>
      <c r="AP7" s="10">
        <f t="shared" si="25"/>
        <v>-1678.5339167440156</v>
      </c>
      <c r="AQ7" s="9">
        <f t="shared" si="26"/>
        <v>0.51569218420048346</v>
      </c>
      <c r="AR7" s="9">
        <f t="shared" si="27"/>
        <v>0.48430781579951659</v>
      </c>
      <c r="AS7">
        <f t="shared" si="28"/>
        <v>192.26007485151317</v>
      </c>
      <c r="AT7">
        <f t="shared" si="29"/>
        <v>0</v>
      </c>
      <c r="AU7">
        <f t="shared" si="30"/>
        <v>0</v>
      </c>
      <c r="AV7">
        <f t="shared" si="31"/>
        <v>1</v>
      </c>
      <c r="AW7">
        <f t="shared" si="32"/>
        <v>0</v>
      </c>
      <c r="AX7">
        <f t="shared" si="33"/>
        <v>0</v>
      </c>
      <c r="AY7" s="3">
        <f t="shared" si="13"/>
        <v>0.06</v>
      </c>
      <c r="AZ7">
        <f t="shared" si="14"/>
        <v>3.2399999999999998E-2</v>
      </c>
      <c r="BA7" s="11">
        <f t="shared" si="34"/>
        <v>4.3799999999999999E-2</v>
      </c>
    </row>
    <row r="8" spans="1:53" x14ac:dyDescent="0.2">
      <c r="H8" s="10">
        <f t="shared" si="35"/>
        <v>4</v>
      </c>
      <c r="I8">
        <f t="shared" si="15"/>
        <v>250</v>
      </c>
      <c r="J8">
        <f t="shared" si="16"/>
        <v>0</v>
      </c>
      <c r="K8">
        <f t="shared" si="17"/>
        <v>-100</v>
      </c>
      <c r="L8" s="9">
        <f t="shared" si="0"/>
        <v>0.9238454260265142</v>
      </c>
      <c r="M8" s="11">
        <f t="shared" si="1"/>
        <v>0.9238454260265142</v>
      </c>
      <c r="N8" s="10">
        <f>SUMPRODUCT(I9:I$54, L9:L$54) / L8</f>
        <v>5734.4253801481382</v>
      </c>
      <c r="O8" s="10">
        <f>SUMPRODUCT(J9:J$54, M9:M$54) / M8</f>
        <v>6.9546120818618159E-4</v>
      </c>
      <c r="P8" s="10">
        <f>SUMPRODUCT(K9:K$54, M9:M$54) / M8</f>
        <v>-2989.2313602454374</v>
      </c>
      <c r="Q8" s="10" cm="1">
        <f t="array" ref="Q8">IF($H8 &gt;= $B$12 - 1, 0, SUMPRODUCT(I9:I$54*L9:L$54, $H9:$H$54 - $H8) / L8 /N8) / (1 + $B$10)</f>
        <v>14.142805689829556</v>
      </c>
      <c r="R8" s="10" cm="1">
        <f t="array" ref="R8">SUMPRODUCT(J9:J$54*L9:L$54, $H9:$H$54 - $H8) / L8 /O8 / (1 + $B$10)</f>
        <v>37.873427266977352</v>
      </c>
      <c r="S8" s="10" cm="1">
        <f t="array" ref="S8">SUMPRODUCT(K9:K$54*M9:M$54, $H9:$H$54 - $H8) / M8 /P8 / (1 + $B$10)</f>
        <v>19.663866044186737</v>
      </c>
      <c r="T8" s="10">
        <f t="shared" si="36"/>
        <v>-120.24528380980264</v>
      </c>
      <c r="U8" s="10">
        <f t="shared" si="37"/>
        <v>29.754716190197357</v>
      </c>
      <c r="V8" s="10">
        <f t="shared" si="18"/>
        <v>2745.1947153639089</v>
      </c>
      <c r="W8">
        <f t="shared" si="38"/>
        <v>230.43578232020684</v>
      </c>
      <c r="X8" s="10">
        <f t="shared" si="19"/>
        <v>2975.6304976841157</v>
      </c>
      <c r="Y8" s="10">
        <f t="shared" si="2"/>
        <v>5734.4253801481382</v>
      </c>
      <c r="Z8">
        <f t="shared" si="3"/>
        <v>0</v>
      </c>
      <c r="AA8" s="10">
        <f t="shared" si="4"/>
        <v>4383.8304807709246</v>
      </c>
      <c r="AB8" s="10">
        <f t="shared" si="5"/>
        <v>1350.5948993772136</v>
      </c>
      <c r="AC8" s="10">
        <f t="shared" si="6"/>
        <v>1.4237567289320833E-3</v>
      </c>
      <c r="AD8" s="10">
        <f t="shared" si="7"/>
        <v>-7.282955207459017E-4</v>
      </c>
      <c r="AE8">
        <f t="shared" si="20"/>
        <v>-3177.288921240453</v>
      </c>
      <c r="AF8" s="10">
        <f t="shared" si="8"/>
        <v>188.05756099501559</v>
      </c>
      <c r="AG8" s="10">
        <f t="shared" si="21"/>
        <v>1206.542983287201</v>
      </c>
      <c r="AH8" s="10">
        <f t="shared" si="22"/>
        <v>1538.6517320767084</v>
      </c>
      <c r="AI8">
        <f t="shared" si="9"/>
        <v>1836.8089491877258</v>
      </c>
      <c r="AJ8">
        <f t="shared" si="10"/>
        <v>459.20223729693146</v>
      </c>
      <c r="AK8" s="10">
        <f t="shared" si="11"/>
        <v>679.61931119945837</v>
      </c>
      <c r="AL8" s="4">
        <f t="shared" si="23"/>
        <v>0.61728395061728403</v>
      </c>
      <c r="AM8">
        <f t="shared" si="12"/>
        <v>1836.8089491877258</v>
      </c>
      <c r="AN8" s="10">
        <f t="shared" si="24"/>
        <v>-747.34074599026951</v>
      </c>
      <c r="AO8" s="10">
        <f t="shared" si="24"/>
        <v>-859.03242087725005</v>
      </c>
      <c r="AP8" s="10">
        <f t="shared" si="25"/>
        <v>-1606.3731668675196</v>
      </c>
      <c r="AQ8" s="9">
        <f t="shared" si="26"/>
        <v>0.46523482924432091</v>
      </c>
      <c r="AR8" s="9">
        <f t="shared" si="27"/>
        <v>0.53476517075567909</v>
      </c>
      <c r="AS8">
        <f t="shared" si="28"/>
        <v>230.43578232020684</v>
      </c>
      <c r="AT8">
        <f t="shared" si="29"/>
        <v>0</v>
      </c>
      <c r="AU8">
        <f t="shared" si="30"/>
        <v>0</v>
      </c>
      <c r="AV8">
        <f t="shared" si="31"/>
        <v>1</v>
      </c>
      <c r="AW8">
        <f t="shared" si="32"/>
        <v>0</v>
      </c>
      <c r="AX8">
        <f t="shared" si="33"/>
        <v>0</v>
      </c>
      <c r="AY8" s="3">
        <f t="shared" si="13"/>
        <v>0.06</v>
      </c>
      <c r="AZ8">
        <f t="shared" si="14"/>
        <v>3.2399999999999998E-2</v>
      </c>
      <c r="BA8" s="11">
        <f t="shared" si="34"/>
        <v>4.3799999999999999E-2</v>
      </c>
    </row>
    <row r="9" spans="1:53" x14ac:dyDescent="0.2">
      <c r="A9" t="s">
        <v>3</v>
      </c>
      <c r="B9" s="7">
        <v>0</v>
      </c>
      <c r="H9" s="10">
        <f t="shared" si="35"/>
        <v>5</v>
      </c>
      <c r="I9">
        <f t="shared" si="15"/>
        <v>250</v>
      </c>
      <c r="J9">
        <f t="shared" si="16"/>
        <v>0</v>
      </c>
      <c r="K9">
        <f t="shared" si="17"/>
        <v>-100</v>
      </c>
      <c r="L9" s="9">
        <f t="shared" si="0"/>
        <v>0.90573080982991594</v>
      </c>
      <c r="M9" s="11">
        <f t="shared" si="1"/>
        <v>0.90573080982991594</v>
      </c>
      <c r="N9" s="10">
        <f>SUMPRODUCT(I10:I$54, L10:L$54) / L9</f>
        <v>5599.1138877511012</v>
      </c>
      <c r="O9" s="10">
        <f>SUMPRODUCT(J10:J$54, M10:M$54) / M9</f>
        <v>7.0937043234990519E-4</v>
      </c>
      <c r="P9" s="10">
        <f>SUMPRODUCT(K10:K$54, M10:M$54) / M9</f>
        <v>-2949.0159874503452</v>
      </c>
      <c r="Q9" s="10" cm="1">
        <f t="array" ref="Q9">IF($H9 &gt;= $B$12 - 1, 0, SUMPRODUCT(I10:I$54*L10:L$54, $H10:$H$54 - $H9) / L9 /N9) / (1 + $B$10)</f>
        <v>13.750114274407412</v>
      </c>
      <c r="R9" s="10" cm="1">
        <f t="array" ref="R9">SUMPRODUCT(J10:J$54*L10:L$54, $H10:$H$54 - $H9) / L9 /O9 / (1 + $B$10)</f>
        <v>36.893035110114603</v>
      </c>
      <c r="S9" s="10" cm="1">
        <f t="array" ref="S9">SUMPRODUCT(K10:K$54*M10:M$54, $H10:$H$54 - $H9) / M9 /P9 / (1 + $B$10)</f>
        <v>19.317023314211887</v>
      </c>
      <c r="T9" s="10">
        <f t="shared" si="36"/>
        <v>-118.06089520904108</v>
      </c>
      <c r="U9" s="10">
        <f t="shared" si="37"/>
        <v>31.939104790958922</v>
      </c>
      <c r="V9" s="10">
        <f t="shared" si="18"/>
        <v>2650.0986096711886</v>
      </c>
      <c r="W9">
        <f t="shared" si="38"/>
        <v>272.46797437679083</v>
      </c>
      <c r="X9" s="10">
        <f t="shared" si="19"/>
        <v>2922.5665840479796</v>
      </c>
      <c r="Y9" s="10">
        <f t="shared" si="2"/>
        <v>5599.1138877511012</v>
      </c>
      <c r="Z9">
        <f t="shared" si="3"/>
        <v>0</v>
      </c>
      <c r="AA9" s="10">
        <f t="shared" si="4"/>
        <v>4161.5381509188755</v>
      </c>
      <c r="AB9" s="10">
        <f t="shared" si="5"/>
        <v>1437.5757368322256</v>
      </c>
      <c r="AC9" s="10">
        <f t="shared" si="6"/>
        <v>1.4146393657709312E-3</v>
      </c>
      <c r="AD9" s="10">
        <f t="shared" si="7"/>
        <v>-7.0526893342102602E-4</v>
      </c>
      <c r="AE9">
        <f t="shared" si="20"/>
        <v>-3079.2546261384814</v>
      </c>
      <c r="AF9" s="10">
        <f t="shared" si="8"/>
        <v>130.23863868813623</v>
      </c>
      <c r="AG9" s="10">
        <f t="shared" si="21"/>
        <v>1082.2849394197601</v>
      </c>
      <c r="AH9" s="10">
        <f t="shared" si="22"/>
        <v>1567.8136702514284</v>
      </c>
      <c r="AI9">
        <f t="shared" si="9"/>
        <v>1804.0534469431975</v>
      </c>
      <c r="AJ9">
        <f t="shared" si="10"/>
        <v>451.01336173579938</v>
      </c>
      <c r="AK9" s="10">
        <f t="shared" si="11"/>
        <v>667.49977536898268</v>
      </c>
      <c r="AL9" s="4">
        <f t="shared" si="23"/>
        <v>0.61728395061728403</v>
      </c>
      <c r="AM9">
        <f t="shared" si="12"/>
        <v>1804.0534469431975</v>
      </c>
      <c r="AN9" s="10">
        <f t="shared" si="24"/>
        <v>-631.27157768396069</v>
      </c>
      <c r="AO9" s="10">
        <f t="shared" si="24"/>
        <v>-900.31389488244577</v>
      </c>
      <c r="AP9" s="10">
        <f t="shared" si="25"/>
        <v>-1531.5854725664065</v>
      </c>
      <c r="AQ9" s="9">
        <f t="shared" si="26"/>
        <v>0.41216868989111544</v>
      </c>
      <c r="AR9" s="9">
        <f t="shared" si="27"/>
        <v>0.58783131010888456</v>
      </c>
      <c r="AS9">
        <f t="shared" si="28"/>
        <v>272.46797437679083</v>
      </c>
      <c r="AT9">
        <f t="shared" si="29"/>
        <v>0</v>
      </c>
      <c r="AU9">
        <f t="shared" si="30"/>
        <v>0</v>
      </c>
      <c r="AV9">
        <f t="shared" si="31"/>
        <v>1</v>
      </c>
      <c r="AW9">
        <f t="shared" si="32"/>
        <v>0</v>
      </c>
      <c r="AX9">
        <f t="shared" si="33"/>
        <v>0</v>
      </c>
      <c r="AY9" s="3">
        <f t="shared" si="13"/>
        <v>0.06</v>
      </c>
      <c r="AZ9">
        <f t="shared" si="14"/>
        <v>3.2399999999999998E-2</v>
      </c>
      <c r="BA9" s="11">
        <f t="shared" si="34"/>
        <v>4.3799999999999999E-2</v>
      </c>
    </row>
    <row r="10" spans="1:53" x14ac:dyDescent="0.2">
      <c r="A10" t="s">
        <v>4</v>
      </c>
      <c r="B10" s="6">
        <v>0.02</v>
      </c>
      <c r="C10" t="s">
        <v>24</v>
      </c>
      <c r="H10" s="10">
        <f t="shared" si="35"/>
        <v>6</v>
      </c>
      <c r="I10">
        <f t="shared" si="15"/>
        <v>250</v>
      </c>
      <c r="J10">
        <f t="shared" si="16"/>
        <v>0</v>
      </c>
      <c r="K10">
        <f t="shared" si="17"/>
        <v>-100</v>
      </c>
      <c r="L10" s="9">
        <f t="shared" si="0"/>
        <v>0.88797138218619198</v>
      </c>
      <c r="M10" s="11">
        <f t="shared" si="1"/>
        <v>0.88797138218619198</v>
      </c>
      <c r="N10" s="10">
        <f>SUMPRODUCT(I11:I$54, L11:L$54) / L10</f>
        <v>5461.0961655061237</v>
      </c>
      <c r="O10" s="10">
        <f>SUMPRODUCT(J11:J$54, M11:M$54) / M10</f>
        <v>7.2355784099690341E-4</v>
      </c>
      <c r="P10" s="10">
        <f>SUMPRODUCT(K11:K$54, M11:M$54) / M10</f>
        <v>-2907.9963071993529</v>
      </c>
      <c r="Q10" s="10" cm="1">
        <f t="array" ref="Q10">IF($H10 &gt;= $B$12 - 1, 0, SUMPRODUCT(I11:I$54*L11:L$54, $H11:$H$54 - $H10) / L10 /N10) / (1 + $B$10)</f>
        <v>13.354298992339599</v>
      </c>
      <c r="R10" s="10" cm="1">
        <f t="array" ref="R10">SUMPRODUCT(J11:J$54*L11:L$54, $H11:$H$54 - $H10) / L10 /O10 / (1 + $B$10)</f>
        <v>35.912642953251854</v>
      </c>
      <c r="S10" s="10" cm="1">
        <f t="array" ref="S10">SUMPRODUCT(K11:K$54*M11:M$54, $H11:$H$54 - $H10) / M10 /P10 / (1 + $B$10)</f>
        <v>18.967190113423221</v>
      </c>
      <c r="T10" s="10">
        <f t="shared" si="36"/>
        <v>-115.95553530227401</v>
      </c>
      <c r="U10" s="10">
        <f t="shared" si="37"/>
        <v>34.044464697725985</v>
      </c>
      <c r="V10" s="10">
        <f t="shared" si="18"/>
        <v>2553.1005818646122</v>
      </c>
      <c r="W10">
        <f t="shared" si="38"/>
        <v>318.44653635222028</v>
      </c>
      <c r="X10" s="10">
        <f t="shared" si="19"/>
        <v>2871.5471182168326</v>
      </c>
      <c r="Y10" s="10">
        <f t="shared" si="2"/>
        <v>5461.0961655061237</v>
      </c>
      <c r="Z10">
        <f t="shared" si="3"/>
        <v>0</v>
      </c>
      <c r="AA10" s="10">
        <f t="shared" si="4"/>
        <v>3942.1141091939498</v>
      </c>
      <c r="AB10" s="10">
        <f t="shared" si="5"/>
        <v>1518.9820563121739</v>
      </c>
      <c r="AC10" s="10">
        <f t="shared" si="6"/>
        <v>1.4045878053917603E-3</v>
      </c>
      <c r="AD10" s="10">
        <f t="shared" si="7"/>
        <v>-6.8102996439485693E-4</v>
      </c>
      <c r="AE10">
        <f t="shared" si="20"/>
        <v>-2981.4334490693409</v>
      </c>
      <c r="AF10" s="10">
        <f t="shared" si="8"/>
        <v>73.437141869987954</v>
      </c>
      <c r="AG10" s="10">
        <f t="shared" si="21"/>
        <v>960.68206471241456</v>
      </c>
      <c r="AH10" s="10">
        <f t="shared" si="22"/>
        <v>1592.4185171521974</v>
      </c>
      <c r="AI10">
        <f t="shared" si="9"/>
        <v>1772.5599495165636</v>
      </c>
      <c r="AJ10">
        <f t="shared" si="10"/>
        <v>443.1399873791409</v>
      </c>
      <c r="AK10" s="10">
        <f t="shared" si="11"/>
        <v>655.84718132112812</v>
      </c>
      <c r="AL10" s="4">
        <f t="shared" si="23"/>
        <v>0.61728395061728403</v>
      </c>
      <c r="AM10">
        <f t="shared" si="12"/>
        <v>1772.5599495165636</v>
      </c>
      <c r="AN10" s="10">
        <f t="shared" si="24"/>
        <v>-517.54207733327371</v>
      </c>
      <c r="AO10" s="10">
        <f t="shared" si="24"/>
        <v>-936.57133583106929</v>
      </c>
      <c r="AP10" s="10">
        <f t="shared" si="25"/>
        <v>-1454.113413164343</v>
      </c>
      <c r="AQ10" s="9">
        <f t="shared" si="26"/>
        <v>0.35591589531316797</v>
      </c>
      <c r="AR10" s="9">
        <f t="shared" si="27"/>
        <v>0.64408410468683197</v>
      </c>
      <c r="AS10">
        <f t="shared" si="28"/>
        <v>318.44653635222028</v>
      </c>
      <c r="AT10">
        <f t="shared" si="29"/>
        <v>0</v>
      </c>
      <c r="AU10">
        <f t="shared" si="30"/>
        <v>0</v>
      </c>
      <c r="AV10">
        <f t="shared" si="31"/>
        <v>1</v>
      </c>
      <c r="AW10">
        <f t="shared" si="32"/>
        <v>0</v>
      </c>
      <c r="AX10">
        <f t="shared" si="33"/>
        <v>0</v>
      </c>
      <c r="AY10" s="3">
        <f t="shared" si="13"/>
        <v>0.06</v>
      </c>
      <c r="AZ10">
        <f t="shared" si="14"/>
        <v>3.2399999999999998E-2</v>
      </c>
      <c r="BA10" s="11">
        <f t="shared" si="34"/>
        <v>4.3799999999999999E-2</v>
      </c>
    </row>
    <row r="11" spans="1:53" x14ac:dyDescent="0.2">
      <c r="A11" t="s">
        <v>20</v>
      </c>
      <c r="B11" s="8">
        <v>0</v>
      </c>
      <c r="H11" s="10">
        <f t="shared" si="35"/>
        <v>7</v>
      </c>
      <c r="I11">
        <f t="shared" si="15"/>
        <v>250</v>
      </c>
      <c r="J11">
        <f t="shared" si="16"/>
        <v>0</v>
      </c>
      <c r="K11">
        <f t="shared" si="17"/>
        <v>-100</v>
      </c>
      <c r="L11" s="9">
        <f t="shared" si="0"/>
        <v>0.87056017861391388</v>
      </c>
      <c r="M11" s="11">
        <f t="shared" si="1"/>
        <v>0.87056017861391388</v>
      </c>
      <c r="N11" s="10">
        <f>SUMPRODUCT(I12:I$54, L12:L$54) / L11</f>
        <v>5320.3180888162451</v>
      </c>
      <c r="O11" s="10">
        <f>SUMPRODUCT(J12:J$54, M12:M$54) / M11</f>
        <v>7.3802899781684125E-4</v>
      </c>
      <c r="P11" s="10">
        <f>SUMPRODUCT(K12:K$54, M12:M$54) / M11</f>
        <v>-2866.1562333433394</v>
      </c>
      <c r="Q11" s="10" cm="1">
        <f t="array" ref="Q11">IF($H11 &gt;= $B$12 - 1, 0, SUMPRODUCT(I12:I$54*L12:L$54, $H12:$H$54 - $H11) / L11 /N11) / (1 + $B$10)</f>
        <v>12.955352654547712</v>
      </c>
      <c r="R11" s="10" cm="1">
        <f t="array" ref="R11">SUMPRODUCT(J12:J$54*L12:L$54, $H12:$H$54 - $H11) / L11 /O11 / (1 + $B$10)</f>
        <v>34.93225079638912</v>
      </c>
      <c r="S11" s="10" cm="1">
        <f t="array" ref="S11">SUMPRODUCT(K12:K$54*M12:M$54, $H12:$H$54 - $H11) / M11 /P11 / (1 + $B$10)</f>
        <v>18.614356138745791</v>
      </c>
      <c r="T11" s="10">
        <f t="shared" si="36"/>
        <v>-113.93129075517712</v>
      </c>
      <c r="U11" s="10">
        <f t="shared" si="37"/>
        <v>36.068709244822884</v>
      </c>
      <c r="V11" s="10">
        <f t="shared" si="18"/>
        <v>2454.1625935019038</v>
      </c>
      <c r="W11">
        <f t="shared" si="38"/>
        <v>368.4632038892704</v>
      </c>
      <c r="X11" s="10">
        <f t="shared" si="19"/>
        <v>2822.6257973911743</v>
      </c>
      <c r="Y11" s="10">
        <f t="shared" si="2"/>
        <v>5320.3180888162451</v>
      </c>
      <c r="Z11">
        <f t="shared" si="3"/>
        <v>0</v>
      </c>
      <c r="AA11" s="10">
        <f t="shared" si="4"/>
        <v>3725.7620040531756</v>
      </c>
      <c r="AB11" s="10">
        <f t="shared" si="5"/>
        <v>1594.5560847630695</v>
      </c>
      <c r="AC11" s="10">
        <f t="shared" si="6"/>
        <v>1.3935683268511145E-3</v>
      </c>
      <c r="AD11" s="10">
        <f t="shared" si="7"/>
        <v>-6.5553932903427326E-4</v>
      </c>
      <c r="AE11">
        <f t="shared" si="20"/>
        <v>-2883.873128472384</v>
      </c>
      <c r="AF11" s="10">
        <f t="shared" si="8"/>
        <v>17.716895129044588</v>
      </c>
      <c r="AG11" s="10">
        <f t="shared" si="21"/>
        <v>841.89026914911847</v>
      </c>
      <c r="AH11" s="10">
        <f t="shared" si="22"/>
        <v>1612.2723243527851</v>
      </c>
      <c r="AI11">
        <f t="shared" si="9"/>
        <v>1742.3616033278856</v>
      </c>
      <c r="AJ11">
        <f t="shared" si="10"/>
        <v>435.59040083197141</v>
      </c>
      <c r="AK11" s="10">
        <f t="shared" si="11"/>
        <v>644.67379323131718</v>
      </c>
      <c r="AL11" s="4">
        <f t="shared" si="23"/>
        <v>0.61728395061728403</v>
      </c>
      <c r="AM11">
        <f t="shared" si="12"/>
        <v>1742.3616033278856</v>
      </c>
      <c r="AN11" s="10">
        <f t="shared" si="24"/>
        <v>-406.29986831714706</v>
      </c>
      <c r="AO11" s="10">
        <f t="shared" si="24"/>
        <v>-967.59853112146789</v>
      </c>
      <c r="AP11" s="10">
        <f t="shared" si="25"/>
        <v>-1373.8983994386149</v>
      </c>
      <c r="AQ11" s="9">
        <f t="shared" si="26"/>
        <v>0.2957277397536559</v>
      </c>
      <c r="AR11" s="9">
        <f t="shared" si="27"/>
        <v>0.70427226024634415</v>
      </c>
      <c r="AS11">
        <f t="shared" si="28"/>
        <v>368.4632038892704</v>
      </c>
      <c r="AT11">
        <f t="shared" si="29"/>
        <v>0</v>
      </c>
      <c r="AU11">
        <f t="shared" si="30"/>
        <v>0</v>
      </c>
      <c r="AV11">
        <f t="shared" si="31"/>
        <v>1</v>
      </c>
      <c r="AW11">
        <f t="shared" si="32"/>
        <v>0</v>
      </c>
      <c r="AX11">
        <f t="shared" si="33"/>
        <v>0</v>
      </c>
      <c r="AY11" s="3">
        <f t="shared" si="13"/>
        <v>0.06</v>
      </c>
      <c r="AZ11">
        <f t="shared" si="14"/>
        <v>3.2399999999999998E-2</v>
      </c>
      <c r="BA11" s="11">
        <f t="shared" si="34"/>
        <v>4.3799999999999999E-2</v>
      </c>
    </row>
    <row r="12" spans="1:53" x14ac:dyDescent="0.2">
      <c r="A12" t="s">
        <v>21</v>
      </c>
      <c r="B12" s="8">
        <v>36</v>
      </c>
      <c r="H12" s="10">
        <f t="shared" si="35"/>
        <v>8</v>
      </c>
      <c r="I12">
        <f t="shared" si="15"/>
        <v>250</v>
      </c>
      <c r="J12">
        <f t="shared" si="16"/>
        <v>0</v>
      </c>
      <c r="K12">
        <f t="shared" si="17"/>
        <v>-100</v>
      </c>
      <c r="L12" s="9">
        <f t="shared" si="0"/>
        <v>0.85349037119011162</v>
      </c>
      <c r="M12" s="11">
        <f t="shared" si="1"/>
        <v>0.85349037119011162</v>
      </c>
      <c r="N12" s="10">
        <f>SUMPRODUCT(I13:I$54, L13:L$54) / L12</f>
        <v>5176.7244505925692</v>
      </c>
      <c r="O12" s="10">
        <f>SUMPRODUCT(J13:J$54, M13:M$54) / M12</f>
        <v>7.5278957777317817E-4</v>
      </c>
      <c r="P12" s="10">
        <f>SUMPRODUCT(K13:K$54, M13:M$54) / M12</f>
        <v>-2823.4793580102055</v>
      </c>
      <c r="Q12" s="10" cm="1">
        <f t="array" ref="Q12">IF($H12 &gt;= $B$12 - 1, 0, SUMPRODUCT(I13:I$54*L13:L$54, $H13:$H$54 - $H12) / L12 /N12) / (1 + $B$10)</f>
        <v>12.553268296949527</v>
      </c>
      <c r="R12" s="10" cm="1">
        <f t="array" ref="R12">SUMPRODUCT(J13:J$54*L13:L$54, $H13:$H$54 - $H12) / L12 /O12 / (1 + $B$10)</f>
        <v>33.951858639526378</v>
      </c>
      <c r="S12" s="10" cm="1">
        <f t="array" ref="S12">SUMPRODUCT(K13:K$54*M13:M$54, $H13:$H$54 - $H12) / M12 /P12 / (1 + $B$10)</f>
        <v>18.258511277823274</v>
      </c>
      <c r="T12" s="10">
        <f t="shared" si="36"/>
        <v>-111.99029205389984</v>
      </c>
      <c r="U12" s="10">
        <f t="shared" si="37"/>
        <v>38.009707946100164</v>
      </c>
      <c r="V12" s="10">
        <f t="shared" si="18"/>
        <v>2353.2458453719414</v>
      </c>
      <c r="W12">
        <f t="shared" si="38"/>
        <v>422.61160016572063</v>
      </c>
      <c r="X12" s="10">
        <f t="shared" si="19"/>
        <v>2775.857445537662</v>
      </c>
      <c r="Y12" s="10">
        <f t="shared" si="2"/>
        <v>5176.7244505925692</v>
      </c>
      <c r="Z12">
        <f t="shared" si="3"/>
        <v>0</v>
      </c>
      <c r="AA12" s="10">
        <f t="shared" si="4"/>
        <v>3512.6924825766027</v>
      </c>
      <c r="AB12" s="10">
        <f t="shared" si="5"/>
        <v>1664.0319680159664</v>
      </c>
      <c r="AC12" s="10">
        <f t="shared" si="6"/>
        <v>1.3815462340466861E-3</v>
      </c>
      <c r="AD12" s="10">
        <f t="shared" si="7"/>
        <v>-6.2875665627350793E-4</v>
      </c>
      <c r="AE12">
        <f t="shared" si="20"/>
        <v>-2786.6232270773271</v>
      </c>
      <c r="AF12" s="10">
        <f t="shared" si="8"/>
        <v>-36.856130932878386</v>
      </c>
      <c r="AG12" s="10">
        <f t="shared" si="21"/>
        <v>726.07063704550956</v>
      </c>
      <c r="AH12" s="10">
        <f t="shared" si="22"/>
        <v>1627.1752083264319</v>
      </c>
      <c r="AI12">
        <f t="shared" si="9"/>
        <v>1713.4922503318903</v>
      </c>
      <c r="AJ12">
        <f t="shared" si="10"/>
        <v>428.37306258297258</v>
      </c>
      <c r="AK12" s="10">
        <f t="shared" si="11"/>
        <v>633.99213262279909</v>
      </c>
      <c r="AL12" s="4">
        <f t="shared" si="23"/>
        <v>0.61728395061728403</v>
      </c>
      <c r="AM12">
        <f t="shared" si="12"/>
        <v>1713.4922503318903</v>
      </c>
      <c r="AN12" s="10">
        <f t="shared" si="24"/>
        <v>-297.69757446253698</v>
      </c>
      <c r="AO12" s="10">
        <f t="shared" si="24"/>
        <v>-993.18307570363277</v>
      </c>
      <c r="AP12" s="10">
        <f t="shared" si="25"/>
        <v>-1290.8806501661697</v>
      </c>
      <c r="AQ12" s="9">
        <f t="shared" si="26"/>
        <v>0.23061587794674557</v>
      </c>
      <c r="AR12" s="9">
        <f t="shared" si="27"/>
        <v>0.76938412205325446</v>
      </c>
      <c r="AS12">
        <f t="shared" si="28"/>
        <v>422.61160016572063</v>
      </c>
      <c r="AT12">
        <f t="shared" si="29"/>
        <v>0</v>
      </c>
      <c r="AU12">
        <f t="shared" si="30"/>
        <v>0</v>
      </c>
      <c r="AV12">
        <f t="shared" si="31"/>
        <v>1</v>
      </c>
      <c r="AW12">
        <f t="shared" si="32"/>
        <v>0</v>
      </c>
      <c r="AX12">
        <f t="shared" si="33"/>
        <v>0</v>
      </c>
      <c r="AY12" s="3">
        <f t="shared" si="13"/>
        <v>0.06</v>
      </c>
      <c r="AZ12">
        <f t="shared" si="14"/>
        <v>3.2399999999999998E-2</v>
      </c>
      <c r="BA12" s="11">
        <f t="shared" si="34"/>
        <v>4.3799999999999999E-2</v>
      </c>
    </row>
    <row r="13" spans="1:53" x14ac:dyDescent="0.2">
      <c r="H13" s="10">
        <f t="shared" si="35"/>
        <v>9</v>
      </c>
      <c r="I13">
        <f t="shared" si="15"/>
        <v>250</v>
      </c>
      <c r="J13">
        <f t="shared" si="16"/>
        <v>0</v>
      </c>
      <c r="K13">
        <f t="shared" si="17"/>
        <v>-100</v>
      </c>
      <c r="L13" s="9">
        <f t="shared" si="0"/>
        <v>0.83675526587265847</v>
      </c>
      <c r="M13" s="11">
        <f t="shared" si="1"/>
        <v>0.83675526587265847</v>
      </c>
      <c r="N13" s="10">
        <f>SUMPRODUCT(I14:I$54, L14:L$54) / L13</f>
        <v>5030.2589396044223</v>
      </c>
      <c r="O13" s="10">
        <f>SUMPRODUCT(J14:J$54, M14:M$54) / M13</f>
        <v>7.6784536932864164E-4</v>
      </c>
      <c r="P13" s="10">
        <f>SUMPRODUCT(K14:K$54, M14:M$54) / M13</f>
        <v>-2779.9489451704103</v>
      </c>
      <c r="Q13" s="10" cm="1">
        <f t="array" ref="Q13">IF($H13 &gt;= $B$12 - 1, 0, SUMPRODUCT(I14:I$54*L14:L$54, $H14:$H$54 - $H13) / L13 /N13) / (1 + $B$10)</f>
        <v>12.14803918233947</v>
      </c>
      <c r="R13" s="10" cm="1">
        <f t="array" ref="R13">SUMPRODUCT(J14:J$54*L14:L$54, $H14:$H$54 - $H13) / L13 /O13 / (1 + $B$10)</f>
        <v>32.971466482663637</v>
      </c>
      <c r="S13" s="10" cm="1">
        <f t="array" ref="S13">SUMPRODUCT(K14:K$54*M14:M$54, $H14:$H$54 - $H13) / M13 /P13 / (1 + $B$10)</f>
        <v>17.899645611617039</v>
      </c>
      <c r="T13" s="10">
        <f t="shared" si="36"/>
        <v>-110.13471439008224</v>
      </c>
      <c r="U13" s="10">
        <f t="shared" si="37"/>
        <v>39.865285609917763</v>
      </c>
      <c r="V13" s="10">
        <f t="shared" si="18"/>
        <v>2250.3107622793814</v>
      </c>
      <c r="W13">
        <f t="shared" si="38"/>
        <v>480.98727386289698</v>
      </c>
      <c r="X13" s="10">
        <f t="shared" si="19"/>
        <v>2731.2980361422783</v>
      </c>
      <c r="Y13" s="10">
        <f t="shared" si="2"/>
        <v>5030.2589396044223</v>
      </c>
      <c r="Z13">
        <f t="shared" si="3"/>
        <v>0</v>
      </c>
      <c r="AA13" s="10">
        <f t="shared" si="4"/>
        <v>3303.1233889528603</v>
      </c>
      <c r="AB13" s="10">
        <f t="shared" si="5"/>
        <v>1727.135550651562</v>
      </c>
      <c r="AC13" s="10">
        <f t="shared" si="6"/>
        <v>1.3684858301993398E-3</v>
      </c>
      <c r="AD13" s="10">
        <f t="shared" si="7"/>
        <v>-6.0064046087069821E-4</v>
      </c>
      <c r="AE13">
        <f t="shared" si="20"/>
        <v>-2689.7351857804838</v>
      </c>
      <c r="AF13" s="10">
        <f t="shared" si="8"/>
        <v>-90.213759389926508</v>
      </c>
      <c r="AG13" s="10">
        <f t="shared" si="21"/>
        <v>613.38957165820693</v>
      </c>
      <c r="AH13" s="10">
        <f t="shared" si="22"/>
        <v>1636.9211906211747</v>
      </c>
      <c r="AI13">
        <f t="shared" si="9"/>
        <v>1685.986442063135</v>
      </c>
      <c r="AJ13">
        <f t="shared" si="10"/>
        <v>421.49661051578374</v>
      </c>
      <c r="AK13" s="10">
        <f t="shared" si="11"/>
        <v>623.81498356335965</v>
      </c>
      <c r="AL13" s="4">
        <f t="shared" si="23"/>
        <v>0.61728395061728392</v>
      </c>
      <c r="AM13">
        <f t="shared" si="12"/>
        <v>1685.986442063135</v>
      </c>
      <c r="AN13" s="10">
        <f t="shared" si="24"/>
        <v>-191.89296114242319</v>
      </c>
      <c r="AO13" s="10">
        <f t="shared" si="24"/>
        <v>-1013.106207057815</v>
      </c>
      <c r="AP13" s="10">
        <f t="shared" si="25"/>
        <v>-1204.9991682002383</v>
      </c>
      <c r="AQ13" s="9">
        <f t="shared" si="26"/>
        <v>0.15924738058452814</v>
      </c>
      <c r="AR13" s="9">
        <f t="shared" si="27"/>
        <v>0.84075261941547186</v>
      </c>
      <c r="AS13">
        <f t="shared" si="28"/>
        <v>480.98727386289698</v>
      </c>
      <c r="AT13">
        <f t="shared" si="29"/>
        <v>0</v>
      </c>
      <c r="AU13">
        <f t="shared" si="30"/>
        <v>0</v>
      </c>
      <c r="AV13">
        <f t="shared" si="31"/>
        <v>1</v>
      </c>
      <c r="AW13">
        <f t="shared" si="32"/>
        <v>0</v>
      </c>
      <c r="AX13">
        <f t="shared" si="33"/>
        <v>0</v>
      </c>
      <c r="AY13" s="3">
        <f t="shared" si="13"/>
        <v>0.06</v>
      </c>
      <c r="AZ13">
        <f t="shared" si="14"/>
        <v>3.2399999999999998E-2</v>
      </c>
      <c r="BA13" s="11">
        <f t="shared" si="34"/>
        <v>4.3799999999999999E-2</v>
      </c>
    </row>
    <row r="14" spans="1:53" x14ac:dyDescent="0.2">
      <c r="A14" s="1" t="s">
        <v>5</v>
      </c>
      <c r="B14" t="s">
        <v>8</v>
      </c>
      <c r="C14" t="s">
        <v>9</v>
      </c>
      <c r="D14" t="s">
        <v>10</v>
      </c>
      <c r="H14" s="10">
        <f t="shared" si="35"/>
        <v>10</v>
      </c>
      <c r="I14">
        <f t="shared" si="15"/>
        <v>250</v>
      </c>
      <c r="J14">
        <f t="shared" si="16"/>
        <v>0</v>
      </c>
      <c r="K14">
        <f t="shared" si="17"/>
        <v>-100</v>
      </c>
      <c r="L14" s="9">
        <f t="shared" si="0"/>
        <v>0.82034829987515534</v>
      </c>
      <c r="M14" s="11">
        <f t="shared" si="1"/>
        <v>0.82034829987515534</v>
      </c>
      <c r="N14" s="10">
        <f>SUMPRODUCT(I15:I$54, L15:L$54) / L14</f>
        <v>4880.864118396511</v>
      </c>
      <c r="O14" s="10">
        <f>SUMPRODUCT(J15:J$54, M15:M$54) / M14</f>
        <v>7.8320227671521453E-4</v>
      </c>
      <c r="P14" s="10">
        <f>SUMPRODUCT(K15:K$54, M15:M$54) / M14</f>
        <v>-2735.5479240738182</v>
      </c>
      <c r="Q14" s="10" cm="1">
        <f t="array" ref="Q14">IF($H14 &gt;= $B$12 - 1, 0, SUMPRODUCT(I15:I$54*L15:L$54, $H15:$H$54 - $H14) / L14 /N14) / (1 + $B$10)</f>
        <v>11.739658802212357</v>
      </c>
      <c r="R14" s="10" cm="1">
        <f t="array" ref="R14">SUMPRODUCT(J15:J$54*L15:L$54, $H15:$H$54 - $H14) / L14 /O14 / (1 + $B$10)</f>
        <v>31.991074325800888</v>
      </c>
      <c r="S14" s="10" cm="1">
        <f t="array" ref="S14">SUMPRODUCT(K15:K$54*M15:M$54, $H15:$H$54 - $H14) / M14 /P14 / (1 + $B$10)</f>
        <v>17.537749416965696</v>
      </c>
      <c r="T14" s="10">
        <f t="shared" si="36"/>
        <v>-108.36677856360799</v>
      </c>
      <c r="U14" s="10">
        <f t="shared" si="37"/>
        <v>41.633221436392006</v>
      </c>
      <c r="V14" s="10">
        <f t="shared" si="18"/>
        <v>2145.3169775249694</v>
      </c>
      <c r="W14">
        <f t="shared" si="38"/>
        <v>543.68773789448392</v>
      </c>
      <c r="X14" s="10">
        <f t="shared" si="19"/>
        <v>2689.0047154194535</v>
      </c>
      <c r="Y14" s="10">
        <f t="shared" si="2"/>
        <v>4880.864118396511</v>
      </c>
      <c r="Z14">
        <f t="shared" si="3"/>
        <v>0</v>
      </c>
      <c r="AA14" s="10">
        <f t="shared" si="4"/>
        <v>3097.2799681046517</v>
      </c>
      <c r="AB14" s="10">
        <f t="shared" si="5"/>
        <v>1783.5841502918593</v>
      </c>
      <c r="AC14" s="10">
        <f t="shared" si="6"/>
        <v>1.3543503917044812E-3</v>
      </c>
      <c r="AD14" s="10">
        <f t="shared" si="7"/>
        <v>-5.7114811498926664E-4</v>
      </c>
      <c r="AE14">
        <f t="shared" si="20"/>
        <v>-2593.2623789463419</v>
      </c>
      <c r="AF14" s="10">
        <f t="shared" si="8"/>
        <v>-142.28554512747633</v>
      </c>
      <c r="AG14" s="10">
        <f t="shared" si="21"/>
        <v>504.0189435087018</v>
      </c>
      <c r="AH14" s="10">
        <f t="shared" si="22"/>
        <v>1641.298034016268</v>
      </c>
      <c r="AI14">
        <f t="shared" si="9"/>
        <v>1659.8794539626258</v>
      </c>
      <c r="AJ14">
        <f t="shared" si="10"/>
        <v>414.96986349065645</v>
      </c>
      <c r="AK14" s="10">
        <f t="shared" si="11"/>
        <v>614.15539796617122</v>
      </c>
      <c r="AL14" s="4">
        <f t="shared" si="23"/>
        <v>0.61728395061728403</v>
      </c>
      <c r="AM14">
        <f t="shared" si="12"/>
        <v>1659.8794539626258</v>
      </c>
      <c r="AN14" s="10">
        <f t="shared" si="24"/>
        <v>-89.049080018045345</v>
      </c>
      <c r="AO14" s="10">
        <f t="shared" si="24"/>
        <v>-1027.1426360500968</v>
      </c>
      <c r="AP14" s="10">
        <f t="shared" si="25"/>
        <v>-1116.1917160681421</v>
      </c>
      <c r="AQ14" s="9">
        <f t="shared" si="26"/>
        <v>7.9779377266592261E-2</v>
      </c>
      <c r="AR14" s="9">
        <f t="shared" si="27"/>
        <v>0.92022062273340777</v>
      </c>
      <c r="AS14">
        <f t="shared" si="28"/>
        <v>543.68773789448392</v>
      </c>
      <c r="AT14">
        <f t="shared" si="29"/>
        <v>0</v>
      </c>
      <c r="AU14">
        <f t="shared" si="30"/>
        <v>0</v>
      </c>
      <c r="AV14">
        <f t="shared" si="31"/>
        <v>1</v>
      </c>
      <c r="AW14">
        <f t="shared" si="32"/>
        <v>0</v>
      </c>
      <c r="AX14">
        <f t="shared" si="33"/>
        <v>0</v>
      </c>
      <c r="AY14" s="3">
        <f t="shared" si="13"/>
        <v>0.06</v>
      </c>
      <c r="AZ14">
        <f t="shared" si="14"/>
        <v>3.2399999999999998E-2</v>
      </c>
      <c r="BA14" s="11">
        <f t="shared" si="34"/>
        <v>4.3799999999999999E-2</v>
      </c>
    </row>
    <row r="15" spans="1:53" x14ac:dyDescent="0.2">
      <c r="A15" t="s">
        <v>6</v>
      </c>
      <c r="B15" s="15">
        <v>0.04</v>
      </c>
      <c r="C15" s="6">
        <v>0.18</v>
      </c>
      <c r="D15" s="7">
        <v>0</v>
      </c>
      <c r="H15" s="10">
        <f t="shared" si="35"/>
        <v>11</v>
      </c>
      <c r="I15">
        <f t="shared" si="15"/>
        <v>250</v>
      </c>
      <c r="J15">
        <f t="shared" si="16"/>
        <v>0</v>
      </c>
      <c r="K15">
        <f t="shared" si="17"/>
        <v>-100</v>
      </c>
      <c r="L15" s="9">
        <f t="shared" si="0"/>
        <v>0.80426303909328967</v>
      </c>
      <c r="M15" s="11">
        <f t="shared" si="1"/>
        <v>0.80426303909328967</v>
      </c>
      <c r="N15" s="10">
        <f>SUMPRODUCT(I16:I$54, L16:L$54) / L15</f>
        <v>4728.4814007644409</v>
      </c>
      <c r="O15" s="10">
        <f>SUMPRODUCT(J16:J$54, M16:M$54) / M15</f>
        <v>7.988663222495187E-4</v>
      </c>
      <c r="P15" s="10">
        <f>SUMPRODUCT(K16:K$54, M16:M$54) / M15</f>
        <v>-2690.2588825552948</v>
      </c>
      <c r="Q15" s="10" cm="1">
        <f t="array" ref="Q15">IF($H15 &gt;= $B$12 - 1, 0, SUMPRODUCT(I16:I$54*L16:L$54, $H16:$H$54 - $H15) / L15 /N15) / (1 + $B$10)</f>
        <v>11.328120878529539</v>
      </c>
      <c r="R15" s="10" cm="1">
        <f t="array" ref="R15">SUMPRODUCT(J16:J$54*L16:L$54, $H16:$H$54 - $H15) / L15 /O15 / (1 + $B$10)</f>
        <v>31.010682168938143</v>
      </c>
      <c r="S15" s="10" cm="1">
        <f t="array" ref="S15">SUMPRODUCT(K16:K$54*M16:M$54, $H16:$H$54 - $H15) / M15 /P15 / (1 + $B$10)</f>
        <v>17.172813169103652</v>
      </c>
      <c r="T15" s="10">
        <f t="shared" si="36"/>
        <v>-106.68875190344777</v>
      </c>
      <c r="U15" s="10">
        <f t="shared" si="37"/>
        <v>43.311248096552234</v>
      </c>
      <c r="V15" s="10">
        <f t="shared" si="18"/>
        <v>2038.223317075468</v>
      </c>
      <c r="W15">
        <f>W14 * (1+BA14) + U15</f>
        <v>610.81250891081459</v>
      </c>
      <c r="X15" s="10">
        <f t="shared" si="19"/>
        <v>2649.0358259862824</v>
      </c>
      <c r="Y15" s="10">
        <f t="shared" si="2"/>
        <v>4728.4814007644409</v>
      </c>
      <c r="Z15">
        <f t="shared" si="3"/>
        <v>0</v>
      </c>
      <c r="AA15" s="10">
        <f t="shared" si="4"/>
        <v>2895.3950745804468</v>
      </c>
      <c r="AB15" s="10">
        <f t="shared" si="5"/>
        <v>1833.0863261839941</v>
      </c>
      <c r="AC15" s="10">
        <f t="shared" si="6"/>
        <v>1.3391021413377481E-3</v>
      </c>
      <c r="AD15" s="10">
        <f t="shared" si="7"/>
        <v>-5.4023581908822945E-4</v>
      </c>
      <c r="AE15">
        <f t="shared" si="20"/>
        <v>-2497.2601711699263</v>
      </c>
      <c r="AF15" s="10">
        <f t="shared" si="8"/>
        <v>-192.99871138536855</v>
      </c>
      <c r="AG15" s="10">
        <f t="shared" si="21"/>
        <v>398.13624251266174</v>
      </c>
      <c r="AH15" s="10">
        <f t="shared" si="22"/>
        <v>1640.0870745628065</v>
      </c>
      <c r="AI15">
        <f t="shared" si="9"/>
        <v>1635.2072999915326</v>
      </c>
      <c r="AJ15">
        <f t="shared" si="10"/>
        <v>408.80182499788316</v>
      </c>
      <c r="AK15" s="10">
        <f t="shared" si="11"/>
        <v>605.02670099686657</v>
      </c>
      <c r="AL15" s="4">
        <f t="shared" si="23"/>
        <v>0.61728395061728403</v>
      </c>
      <c r="AM15">
        <f t="shared" si="12"/>
        <v>1635.2072999915326</v>
      </c>
      <c r="AN15" s="10">
        <f t="shared" si="24"/>
        <v>10.665582485221421</v>
      </c>
      <c r="AO15" s="10">
        <f t="shared" si="24"/>
        <v>-1035.0603735659399</v>
      </c>
      <c r="AP15" s="10">
        <f t="shared" si="25"/>
        <v>-1024.3947910807185</v>
      </c>
      <c r="AQ15" s="9">
        <f t="shared" si="26"/>
        <v>0</v>
      </c>
      <c r="AR15" s="9">
        <f t="shared" si="27"/>
        <v>1</v>
      </c>
      <c r="AS15">
        <f t="shared" si="28"/>
        <v>610.81250891081459</v>
      </c>
      <c r="AT15">
        <f t="shared" si="29"/>
        <v>0</v>
      </c>
      <c r="AU15">
        <f t="shared" si="30"/>
        <v>0</v>
      </c>
      <c r="AV15">
        <f t="shared" si="31"/>
        <v>1</v>
      </c>
      <c r="AW15">
        <f t="shared" si="32"/>
        <v>0</v>
      </c>
      <c r="AX15">
        <f t="shared" si="33"/>
        <v>0</v>
      </c>
      <c r="AY15" s="3">
        <f t="shared" si="13"/>
        <v>0.06</v>
      </c>
      <c r="AZ15">
        <f t="shared" si="14"/>
        <v>3.2399999999999998E-2</v>
      </c>
      <c r="BA15" s="11">
        <f t="shared" si="34"/>
        <v>4.3799999999999999E-2</v>
      </c>
    </row>
    <row r="16" spans="1:53" x14ac:dyDescent="0.2">
      <c r="A16" t="s">
        <v>7</v>
      </c>
      <c r="B16" s="16">
        <v>0.01</v>
      </c>
      <c r="C16" s="6">
        <v>0.18</v>
      </c>
      <c r="H16" s="10">
        <f t="shared" si="35"/>
        <v>12</v>
      </c>
      <c r="I16">
        <f t="shared" si="15"/>
        <v>250</v>
      </c>
      <c r="J16">
        <f t="shared" si="16"/>
        <v>0</v>
      </c>
      <c r="K16">
        <f t="shared" si="17"/>
        <v>-100</v>
      </c>
      <c r="L16" s="9">
        <f t="shared" si="0"/>
        <v>0.78849317558165644</v>
      </c>
      <c r="M16" s="11">
        <f t="shared" si="1"/>
        <v>0.78849317558165644</v>
      </c>
      <c r="N16" s="10">
        <f>SUMPRODUCT(I17:I$54, L17:L$54) / L16</f>
        <v>4573.0510287797297</v>
      </c>
      <c r="O16" s="10">
        <f>SUMPRODUCT(J17:J$54, M17:M$54) / M16</f>
        <v>8.1484364869450923E-4</v>
      </c>
      <c r="P16" s="10">
        <f>SUMPRODUCT(K17:K$54, M17:M$54) / M16</f>
        <v>-2644.0640602064009</v>
      </c>
      <c r="Q16" s="10" cm="1">
        <f t="array" ref="Q16">IF($H16 &gt;= $B$12 - 1, 0, SUMPRODUCT(I17:I$54*L17:L$54, $H17:$H$54 - $H16) / L16 /N16) / (1 + $B$10)</f>
        <v>10.913419365426568</v>
      </c>
      <c r="R16" s="10" cm="1">
        <f t="array" ref="R16">SUMPRODUCT(J17:J$54*L17:L$54, $H17:$H$54 - $H16) / L16 /O16 / (1 + $B$10)</f>
        <v>30.030290012075394</v>
      </c>
      <c r="S16" s="10" cm="1">
        <f t="array" ref="S16">SUMPRODUCT(K17:K$54*M17:M$54, $H17:$H$54 - $H16) / M16 /P16 / (1 + $B$10)</f>
        <v>16.804827544137755</v>
      </c>
      <c r="T16" s="10">
        <f t="shared" si="36"/>
        <v>-105.10294920695574</v>
      </c>
      <c r="U16" s="10">
        <f t="shared" si="37"/>
        <v>44.897050793044258</v>
      </c>
      <c r="V16" s="10">
        <f t="shared" si="18"/>
        <v>1928.9877834169779</v>
      </c>
      <c r="W16">
        <f t="shared" si="38"/>
        <v>682.46314759415259</v>
      </c>
      <c r="X16" s="10">
        <f t="shared" si="19"/>
        <v>2611.4509310111307</v>
      </c>
      <c r="Y16" s="10">
        <f t="shared" si="2"/>
        <v>4573.0510287797297</v>
      </c>
      <c r="Z16">
        <f t="shared" si="3"/>
        <v>0</v>
      </c>
      <c r="AA16" s="10">
        <f t="shared" si="4"/>
        <v>2697.7093868415454</v>
      </c>
      <c r="AB16" s="10">
        <f t="shared" si="5"/>
        <v>1875.3416419381842</v>
      </c>
      <c r="AC16" s="10">
        <f t="shared" si="6"/>
        <v>1.3227022207996644E-3</v>
      </c>
      <c r="AD16" s="10">
        <f t="shared" si="7"/>
        <v>-5.0785857210515516E-4</v>
      </c>
      <c r="AE16">
        <f t="shared" si="20"/>
        <v>-2401.7859755362829</v>
      </c>
      <c r="AF16" s="10">
        <f t="shared" si="8"/>
        <v>-242.27808467011801</v>
      </c>
      <c r="AG16" s="10">
        <f t="shared" si="21"/>
        <v>295.92473400748349</v>
      </c>
      <c r="AH16" s="10">
        <f t="shared" si="22"/>
        <v>1633.0630494094942</v>
      </c>
      <c r="AI16">
        <f t="shared" si="9"/>
        <v>1612.0067475377352</v>
      </c>
      <c r="AJ16">
        <f t="shared" si="10"/>
        <v>403.00168688443381</v>
      </c>
      <c r="AK16" s="10">
        <f t="shared" si="11"/>
        <v>596.4424965889616</v>
      </c>
      <c r="AL16" s="4">
        <f t="shared" si="23"/>
        <v>0.61728395061728403</v>
      </c>
      <c r="AM16">
        <f t="shared" si="12"/>
        <v>1612.0067475377352</v>
      </c>
      <c r="AN16" s="10">
        <f t="shared" si="24"/>
        <v>107.07695287695032</v>
      </c>
      <c r="AO16" s="10">
        <f t="shared" si="24"/>
        <v>-1036.6205528205326</v>
      </c>
      <c r="AP16" s="10">
        <f t="shared" si="25"/>
        <v>-929.54359994358219</v>
      </c>
      <c r="AQ16" s="9">
        <f t="shared" si="26"/>
        <v>0</v>
      </c>
      <c r="AR16" s="9">
        <f t="shared" si="27"/>
        <v>1</v>
      </c>
      <c r="AS16">
        <f t="shared" si="28"/>
        <v>682.46314759415259</v>
      </c>
      <c r="AT16">
        <f t="shared" si="29"/>
        <v>0</v>
      </c>
      <c r="AU16">
        <f t="shared" si="30"/>
        <v>0</v>
      </c>
      <c r="AV16">
        <f t="shared" si="31"/>
        <v>1</v>
      </c>
      <c r="AW16">
        <f t="shared" si="32"/>
        <v>0</v>
      </c>
      <c r="AX16">
        <f t="shared" si="33"/>
        <v>0</v>
      </c>
      <c r="AY16" s="3">
        <f t="shared" si="13"/>
        <v>0.06</v>
      </c>
      <c r="AZ16">
        <f t="shared" si="14"/>
        <v>3.2399999999999998E-2</v>
      </c>
      <c r="BA16" s="11">
        <f t="shared" si="34"/>
        <v>4.3799999999999999E-2</v>
      </c>
    </row>
    <row r="17" spans="1:53" x14ac:dyDescent="0.2">
      <c r="A17" t="s">
        <v>40</v>
      </c>
      <c r="B17" s="7">
        <v>18.5</v>
      </c>
      <c r="H17" s="10">
        <f t="shared" si="35"/>
        <v>13</v>
      </c>
      <c r="I17">
        <f t="shared" si="15"/>
        <v>250</v>
      </c>
      <c r="J17">
        <f t="shared" si="16"/>
        <v>0</v>
      </c>
      <c r="K17">
        <f t="shared" si="17"/>
        <v>-100</v>
      </c>
      <c r="L17" s="9">
        <f t="shared" si="0"/>
        <v>0.77303252508005538</v>
      </c>
      <c r="M17" s="11">
        <f t="shared" si="1"/>
        <v>0.77303252508005538</v>
      </c>
      <c r="N17" s="10">
        <f>SUMPRODUCT(I18:I$54, L18:L$54) / L17</f>
        <v>4414.512049355325</v>
      </c>
      <c r="O17" s="10">
        <f>SUMPRODUCT(J18:J$54, M18:M$54) / M17</f>
        <v>8.311405216683993E-4</v>
      </c>
      <c r="P17" s="10">
        <f>SUMPRODUCT(K18:K$54, M18:M$54) / M17</f>
        <v>-2596.9453414105287</v>
      </c>
      <c r="Q17" s="10" cm="1">
        <f t="array" ref="Q17">IF($H17 &gt;= $B$12 - 1, 0, SUMPRODUCT(I18:I$54*L18:L$54, $H18:$H$54 - $H17) / L17 /N17) / (1 + $B$10)</f>
        <v>10.49554845086139</v>
      </c>
      <c r="R17" s="10" cm="1">
        <f t="array" ref="R17">SUMPRODUCT(J18:J$54*L18:L$54, $H18:$H$54 - $H17) / L17 /O17 / (1 + $B$10)</f>
        <v>29.049897855212652</v>
      </c>
      <c r="S17" s="10" cm="1">
        <f t="array" ref="S17">SUMPRODUCT(K18:K$54*M18:M$54, $H18:$H$54 - $H17) / M17 /P17 / (1 + $B$10)</f>
        <v>16.433783421480456</v>
      </c>
      <c r="T17" s="10">
        <f t="shared" si="36"/>
        <v>-103.61173369798792</v>
      </c>
      <c r="U17" s="10">
        <f t="shared" si="37"/>
        <v>46.388266302012084</v>
      </c>
      <c r="V17" s="10">
        <f t="shared" si="18"/>
        <v>1817.567539085318</v>
      </c>
      <c r="W17">
        <f t="shared" si="38"/>
        <v>758.74329976078855</v>
      </c>
      <c r="X17" s="10">
        <f t="shared" si="19"/>
        <v>2576.3108388461064</v>
      </c>
      <c r="Y17" s="10">
        <f t="shared" si="2"/>
        <v>4414.512049355325</v>
      </c>
      <c r="Z17">
        <f t="shared" si="3"/>
        <v>0</v>
      </c>
      <c r="AA17" s="10">
        <f t="shared" si="4"/>
        <v>2504.471627076769</v>
      </c>
      <c r="AB17" s="10">
        <f t="shared" si="5"/>
        <v>1910.040422278556</v>
      </c>
      <c r="AC17" s="10">
        <f t="shared" si="6"/>
        <v>1.3051106625835221E-3</v>
      </c>
      <c r="AD17" s="10">
        <f t="shared" si="7"/>
        <v>-4.7397014091512277E-4</v>
      </c>
      <c r="AE17">
        <f t="shared" si="20"/>
        <v>-2306.8993134142297</v>
      </c>
      <c r="AF17" s="10">
        <f t="shared" si="8"/>
        <v>-290.04602799629902</v>
      </c>
      <c r="AG17" s="10">
        <f t="shared" si="21"/>
        <v>197.57361877320182</v>
      </c>
      <c r="AH17" s="10">
        <f t="shared" si="22"/>
        <v>1619.9939203121162</v>
      </c>
      <c r="AI17">
        <f t="shared" si="9"/>
        <v>1590.3153326210536</v>
      </c>
      <c r="AJ17">
        <f t="shared" si="10"/>
        <v>397.5788331552634</v>
      </c>
      <c r="AK17" s="10">
        <f t="shared" si="11"/>
        <v>588.41667306978945</v>
      </c>
      <c r="AL17" s="4">
        <f t="shared" si="23"/>
        <v>0.61728395061728403</v>
      </c>
      <c r="AM17">
        <f t="shared" si="12"/>
        <v>1590.3153326210536</v>
      </c>
      <c r="AN17" s="10">
        <f t="shared" si="24"/>
        <v>200.00521438206158</v>
      </c>
      <c r="AO17" s="10">
        <f t="shared" si="24"/>
        <v>-1031.5772472423268</v>
      </c>
      <c r="AP17" s="10">
        <f t="shared" si="25"/>
        <v>-831.57203286026527</v>
      </c>
      <c r="AQ17" s="9">
        <f t="shared" si="26"/>
        <v>0</v>
      </c>
      <c r="AR17" s="9">
        <f t="shared" si="27"/>
        <v>1</v>
      </c>
      <c r="AS17">
        <f t="shared" si="28"/>
        <v>758.74329976078855</v>
      </c>
      <c r="AT17">
        <f t="shared" si="29"/>
        <v>0</v>
      </c>
      <c r="AU17">
        <f t="shared" si="30"/>
        <v>0</v>
      </c>
      <c r="AV17">
        <f t="shared" si="31"/>
        <v>1</v>
      </c>
      <c r="AW17">
        <f t="shared" si="32"/>
        <v>0</v>
      </c>
      <c r="AX17">
        <f t="shared" si="33"/>
        <v>0</v>
      </c>
      <c r="AY17" s="3">
        <f t="shared" si="13"/>
        <v>0.06</v>
      </c>
      <c r="AZ17">
        <f t="shared" si="14"/>
        <v>3.2399999999999998E-2</v>
      </c>
      <c r="BA17" s="11">
        <f t="shared" si="34"/>
        <v>4.3799999999999999E-2</v>
      </c>
    </row>
    <row r="18" spans="1:53" x14ac:dyDescent="0.2">
      <c r="H18" s="10">
        <f t="shared" si="35"/>
        <v>14</v>
      </c>
      <c r="I18">
        <f t="shared" si="15"/>
        <v>250</v>
      </c>
      <c r="J18">
        <f t="shared" si="16"/>
        <v>0</v>
      </c>
      <c r="K18">
        <f t="shared" si="17"/>
        <v>-100</v>
      </c>
      <c r="L18" s="9">
        <f t="shared" si="0"/>
        <v>0.75787502458828948</v>
      </c>
      <c r="M18" s="11">
        <f t="shared" si="1"/>
        <v>0.75787502458828948</v>
      </c>
      <c r="N18" s="10">
        <f>SUMPRODUCT(I19:I$54, L19:L$54) / L18</f>
        <v>4252.8022903424317</v>
      </c>
      <c r="O18" s="10">
        <f>SUMPRODUCT(J19:J$54, M19:M$54) / M18</f>
        <v>8.4776333210176739E-4</v>
      </c>
      <c r="P18" s="10">
        <f>SUMPRODUCT(K19:K$54, M19:M$54) / M18</f>
        <v>-2548.884248238739</v>
      </c>
      <c r="Q18" s="10" cm="1">
        <f t="array" ref="Q18">IF($H18 &gt;= $B$12 - 1, 0, SUMPRODUCT(I19:I$54*L19:L$54, $H19:$H$54 - $H18) / L18 /N18) / (1 + $B$10)</f>
        <v>10.074502558202276</v>
      </c>
      <c r="R18" s="10" cm="1">
        <f t="array" ref="R18">SUMPRODUCT(J19:J$54*L19:L$54, $H19:$H$54 - $H18) / L18 /O18 / (1 + $B$10)</f>
        <v>28.069505698349911</v>
      </c>
      <c r="S18" s="10" cm="1">
        <f t="array" ref="S18">SUMPRODUCT(K19:K$54*M19:M$54, $H19:$H$54 - $H18) / M18 /P18 / (1 + $B$10)</f>
        <v>16.059671886238561</v>
      </c>
      <c r="T18" s="10">
        <f t="shared" si="36"/>
        <v>-102.21751800421821</v>
      </c>
      <c r="U18" s="10">
        <f t="shared" si="37"/>
        <v>47.782481995781794</v>
      </c>
      <c r="V18" s="10">
        <f t="shared" si="18"/>
        <v>1703.9188898670245</v>
      </c>
      <c r="W18">
        <f t="shared" si="38"/>
        <v>839.75873828609292</v>
      </c>
      <c r="X18" s="10">
        <f t="shared" si="19"/>
        <v>2543.6776281531174</v>
      </c>
      <c r="Y18" s="10">
        <f t="shared" si="2"/>
        <v>4252.8022903424317</v>
      </c>
      <c r="Z18">
        <f t="shared" si="3"/>
        <v>0</v>
      </c>
      <c r="AA18" s="10">
        <f t="shared" si="4"/>
        <v>2315.9387866801799</v>
      </c>
      <c r="AB18" s="10">
        <f t="shared" si="5"/>
        <v>1936.8635036622518</v>
      </c>
      <c r="AC18" s="10">
        <f t="shared" si="6"/>
        <v>1.2862863611504145E-3</v>
      </c>
      <c r="AD18" s="10">
        <f t="shared" si="7"/>
        <v>-4.3852302904864708E-4</v>
      </c>
      <c r="AE18">
        <f t="shared" si="20"/>
        <v>-2212.6618758224859</v>
      </c>
      <c r="AF18" s="10">
        <f t="shared" si="8"/>
        <v>-336.22237241625317</v>
      </c>
      <c r="AG18" s="10">
        <f t="shared" si="21"/>
        <v>103.27819714405496</v>
      </c>
      <c r="AH18" s="10">
        <f t="shared" si="22"/>
        <v>1600.6406927229696</v>
      </c>
      <c r="AI18">
        <f t="shared" si="9"/>
        <v>1570.1713754031591</v>
      </c>
      <c r="AJ18">
        <f t="shared" si="10"/>
        <v>392.54284385078978</v>
      </c>
      <c r="AK18" s="10">
        <f t="shared" si="11"/>
        <v>580.9634088991686</v>
      </c>
      <c r="AL18" s="4">
        <f t="shared" si="23"/>
        <v>0.61728395061728403</v>
      </c>
      <c r="AM18">
        <f t="shared" si="12"/>
        <v>1570.1713754031591</v>
      </c>
      <c r="AN18" s="10">
        <f t="shared" si="24"/>
        <v>289.26464670673482</v>
      </c>
      <c r="AO18" s="10">
        <f t="shared" si="24"/>
        <v>-1019.677283823801</v>
      </c>
      <c r="AP18" s="10">
        <f t="shared" si="25"/>
        <v>-730.4126371170662</v>
      </c>
      <c r="AQ18" s="9">
        <f t="shared" si="26"/>
        <v>0</v>
      </c>
      <c r="AR18" s="9">
        <f t="shared" si="27"/>
        <v>1</v>
      </c>
      <c r="AS18">
        <f>MAX(MIN($W18,AM18), 0)</f>
        <v>839.75873828609292</v>
      </c>
      <c r="AT18">
        <f>MIN(IF(AP18 &lt; 0, 0, AQ18 * AP18),W18)</f>
        <v>0</v>
      </c>
      <c r="AU18">
        <f>W18-AS18-AT18</f>
        <v>0</v>
      </c>
      <c r="AV18">
        <f t="shared" si="31"/>
        <v>1</v>
      </c>
      <c r="AW18">
        <f t="shared" si="32"/>
        <v>0</v>
      </c>
      <c r="AX18">
        <f t="shared" si="33"/>
        <v>0</v>
      </c>
      <c r="AY18" s="3">
        <f t="shared" si="13"/>
        <v>0.06</v>
      </c>
      <c r="AZ18">
        <f t="shared" si="14"/>
        <v>3.2399999999999998E-2</v>
      </c>
      <c r="BA18" s="11">
        <f t="shared" si="34"/>
        <v>4.3799999999999999E-2</v>
      </c>
    </row>
    <row r="19" spans="1:53" x14ac:dyDescent="0.2">
      <c r="H19" s="10">
        <f t="shared" si="35"/>
        <v>15</v>
      </c>
      <c r="I19">
        <f t="shared" si="15"/>
        <v>250</v>
      </c>
      <c r="J19">
        <f t="shared" si="16"/>
        <v>0</v>
      </c>
      <c r="K19">
        <f t="shared" si="17"/>
        <v>-100</v>
      </c>
      <c r="L19" s="9">
        <f t="shared" si="0"/>
        <v>0.74301472998851925</v>
      </c>
      <c r="M19" s="11">
        <f t="shared" si="1"/>
        <v>0.74301472998851925</v>
      </c>
      <c r="N19" s="10">
        <f>SUMPRODUCT(I20:I$54, L20:L$54) / L19</f>
        <v>4087.8583361492797</v>
      </c>
      <c r="O19" s="10">
        <f>SUMPRODUCT(J20:J$54, M20:M$54) / M19</f>
        <v>8.6471859874380258E-4</v>
      </c>
      <c r="P19" s="10">
        <f>SUMPRODUCT(K20:K$54, M20:M$54) / M19</f>
        <v>-2499.8619332035137</v>
      </c>
      <c r="Q19" s="10" cm="1">
        <f t="array" ref="Q19">IF($H19 &gt;= $B$12 - 1, 0, SUMPRODUCT(I20:I$54*L20:L$54, $H20:$H$54 - $H19) / L19 /N19) / (1 + $B$10)</f>
        <v>9.6502763477545219</v>
      </c>
      <c r="R19" s="10" cm="1">
        <f t="array" ref="R19">SUMPRODUCT(J20:J$54*L20:L$54, $H20:$H$54 - $H19) / L19 /O19 / (1 + $B$10)</f>
        <v>27.089113541487166</v>
      </c>
      <c r="S19" s="10" cm="1">
        <f t="array" ref="S19">SUMPRODUCT(K20:K$54*M20:M$54, $H20:$H$54 - $H19) / M19 /P19 / (1 + $B$10)</f>
        <v>15.682484231556142</v>
      </c>
      <c r="T19" s="10">
        <f t="shared" si="36"/>
        <v>-100.92276515403805</v>
      </c>
      <c r="U19" s="10">
        <f t="shared" si="37"/>
        <v>49.077234845961954</v>
      </c>
      <c r="V19" s="10">
        <f t="shared" si="18"/>
        <v>1587.9972676643647</v>
      </c>
      <c r="W19">
        <f t="shared" si="38"/>
        <v>925.61740586898577</v>
      </c>
      <c r="X19" s="10">
        <f t="shared" si="19"/>
        <v>2513.6146735333505</v>
      </c>
      <c r="Y19" s="10">
        <f t="shared" si="2"/>
        <v>4087.8583361492797</v>
      </c>
      <c r="Z19">
        <f t="shared" si="3"/>
        <v>0</v>
      </c>
      <c r="AA19" s="10">
        <f t="shared" si="4"/>
        <v>2132.3763575304079</v>
      </c>
      <c r="AB19" s="10">
        <f t="shared" si="5"/>
        <v>1955.4819786188718</v>
      </c>
      <c r="AC19" s="10">
        <f t="shared" si="6"/>
        <v>1.2661870433949487E-3</v>
      </c>
      <c r="AD19" s="10">
        <f t="shared" si="7"/>
        <v>-4.0146844465114608E-4</v>
      </c>
      <c r="AE19">
        <f t="shared" si="20"/>
        <v>-2119.137586407111</v>
      </c>
      <c r="AF19" s="10">
        <f t="shared" si="8"/>
        <v>-380.72434679640264</v>
      </c>
      <c r="AG19" s="10">
        <f t="shared" si="21"/>
        <v>13.240037310340085</v>
      </c>
      <c r="AH19" s="10">
        <f t="shared" si="22"/>
        <v>1574.7572303540246</v>
      </c>
      <c r="AI19">
        <f t="shared" si="9"/>
        <v>1551.6139960082412</v>
      </c>
      <c r="AJ19">
        <f t="shared" si="10"/>
        <v>387.9034990020603</v>
      </c>
      <c r="AK19" s="10">
        <f t="shared" si="11"/>
        <v>574.09717852304902</v>
      </c>
      <c r="AL19" s="4">
        <f t="shared" si="23"/>
        <v>0.61728395061728403</v>
      </c>
      <c r="AM19">
        <f t="shared" si="12"/>
        <v>1551.6139960082412</v>
      </c>
      <c r="AN19" s="10">
        <f t="shared" si="24"/>
        <v>374.66346169172022</v>
      </c>
      <c r="AO19" s="10">
        <f t="shared" si="24"/>
        <v>-1000.6600518309756</v>
      </c>
      <c r="AP19" s="10">
        <f t="shared" si="25"/>
        <v>-625.99659013925543</v>
      </c>
      <c r="AQ19" s="9">
        <f t="shared" si="26"/>
        <v>0</v>
      </c>
      <c r="AR19" s="9">
        <f t="shared" si="27"/>
        <v>1</v>
      </c>
      <c r="AS19">
        <f t="shared" ref="AS19:AS54" si="39">MAX(MIN($W19,AM19), 0)</f>
        <v>925.61740586898577</v>
      </c>
      <c r="AT19">
        <f t="shared" ref="AT19:AT54" si="40">MIN(IF(AP19 &lt; 0, 0, AQ19 * AP19),W19)</f>
        <v>0</v>
      </c>
      <c r="AU19">
        <f t="shared" ref="AU19:AU54" si="41">W19-AS19-AT19</f>
        <v>0</v>
      </c>
      <c r="AV19">
        <f t="shared" si="31"/>
        <v>1</v>
      </c>
      <c r="AW19">
        <f t="shared" si="32"/>
        <v>0</v>
      </c>
      <c r="AX19">
        <f t="shared" si="33"/>
        <v>0</v>
      </c>
      <c r="AY19" s="3">
        <f t="shared" si="13"/>
        <v>0.06</v>
      </c>
      <c r="AZ19">
        <f t="shared" si="14"/>
        <v>3.2399999999999998E-2</v>
      </c>
      <c r="BA19" s="11">
        <f t="shared" si="34"/>
        <v>4.3799999999999999E-2</v>
      </c>
    </row>
    <row r="20" spans="1:53" x14ac:dyDescent="0.2">
      <c r="A20" s="1" t="s">
        <v>11</v>
      </c>
      <c r="H20" s="10">
        <f t="shared" si="35"/>
        <v>16</v>
      </c>
      <c r="I20">
        <f t="shared" si="15"/>
        <v>250</v>
      </c>
      <c r="J20">
        <f t="shared" si="16"/>
        <v>0</v>
      </c>
      <c r="K20">
        <f t="shared" si="17"/>
        <v>-100</v>
      </c>
      <c r="L20" s="9">
        <f t="shared" si="0"/>
        <v>0.72844581371423445</v>
      </c>
      <c r="M20" s="11">
        <f t="shared" si="1"/>
        <v>0.72844581371423445</v>
      </c>
      <c r="N20" s="10">
        <f>SUMPRODUCT(I21:I$54, L21:L$54) / L20</f>
        <v>3919.6155028722656</v>
      </c>
      <c r="O20" s="10">
        <f>SUMPRODUCT(J21:J$54, M21:M$54) / M20</f>
        <v>8.8201297071867878E-4</v>
      </c>
      <c r="P20" s="10">
        <f>SUMPRODUCT(K21:K$54, M21:M$54) / M20</f>
        <v>-2449.8591718675843</v>
      </c>
      <c r="Q20" s="10" cm="1">
        <f t="array" ref="Q20">IF($H20 &gt;= $B$12 - 1, 0, SUMPRODUCT(I21:I$54*L21:L$54, $H21:$H$54 - $H20) / L20 /N20) / (1 + $B$10)</f>
        <v>9.2228647182252992</v>
      </c>
      <c r="R20" s="10" cm="1">
        <f t="array" ref="R20">SUMPRODUCT(J21:J$54*L21:L$54, $H21:$H$54 - $H20) / L20 /O20 / (1 + $B$10)</f>
        <v>26.10872138462442</v>
      </c>
      <c r="S20" s="10" cm="1">
        <f t="array" ref="S20">SUMPRODUCT(K21:K$54*M21:M$54, $H21:$H$54 - $H20) / M20 /P20 / (1 + $B$10)</f>
        <v>15.302211960910601</v>
      </c>
      <c r="T20" s="10">
        <f t="shared" si="36"/>
        <v>-99.729989593429693</v>
      </c>
      <c r="U20" s="10">
        <f t="shared" si="37"/>
        <v>50.270010406570307</v>
      </c>
      <c r="V20" s="10">
        <f t="shared" si="18"/>
        <v>1469.7572130176518</v>
      </c>
      <c r="W20">
        <f t="shared" si="38"/>
        <v>1016.4294586526178</v>
      </c>
      <c r="X20" s="10">
        <f t="shared" si="19"/>
        <v>2486.1866716702698</v>
      </c>
      <c r="Y20" s="10">
        <f t="shared" si="2"/>
        <v>3919.6155028722656</v>
      </c>
      <c r="Z20">
        <f t="shared" si="3"/>
        <v>0</v>
      </c>
      <c r="AA20" s="10">
        <f t="shared" si="4"/>
        <v>1954.058569213488</v>
      </c>
      <c r="AB20" s="10">
        <f t="shared" si="5"/>
        <v>1965.5569336587776</v>
      </c>
      <c r="AC20" s="10">
        <f t="shared" si="6"/>
        <v>1.2447692383848045E-3</v>
      </c>
      <c r="AD20" s="10">
        <f t="shared" si="7"/>
        <v>-3.6275626766612569E-4</v>
      </c>
      <c r="AE20">
        <f t="shared" si="20"/>
        <v>-2026.3926660701993</v>
      </c>
      <c r="AF20" s="10">
        <f t="shared" si="8"/>
        <v>-423.46650579738503</v>
      </c>
      <c r="AG20" s="10">
        <f t="shared" si="21"/>
        <v>-72.332852087472929</v>
      </c>
      <c r="AH20" s="10">
        <f t="shared" si="22"/>
        <v>1542.0900651051247</v>
      </c>
      <c r="AI20">
        <f t="shared" si="9"/>
        <v>1534.6831306606605</v>
      </c>
      <c r="AJ20">
        <f t="shared" si="10"/>
        <v>383.67078266516512</v>
      </c>
      <c r="AK20" s="10">
        <f t="shared" si="11"/>
        <v>567.83275834444419</v>
      </c>
      <c r="AL20" s="4">
        <f t="shared" si="23"/>
        <v>0.61728395061728403</v>
      </c>
      <c r="AM20">
        <f t="shared" si="12"/>
        <v>1534.6831306606605</v>
      </c>
      <c r="AN20" s="10">
        <f t="shared" si="24"/>
        <v>456.00363475263805</v>
      </c>
      <c r="AO20" s="10">
        <f t="shared" si="24"/>
        <v>-974.25730676068054</v>
      </c>
      <c r="AP20" s="10">
        <f t="shared" si="25"/>
        <v>-518.25367200804249</v>
      </c>
      <c r="AQ20" s="9">
        <f t="shared" si="26"/>
        <v>0</v>
      </c>
      <c r="AR20" s="9">
        <f t="shared" si="27"/>
        <v>1</v>
      </c>
      <c r="AS20">
        <f t="shared" si="39"/>
        <v>1016.4294586526178</v>
      </c>
      <c r="AT20">
        <f t="shared" si="40"/>
        <v>0</v>
      </c>
      <c r="AU20">
        <f t="shared" si="41"/>
        <v>0</v>
      </c>
      <c r="AV20">
        <f t="shared" si="31"/>
        <v>1</v>
      </c>
      <c r="AW20">
        <f t="shared" si="32"/>
        <v>0</v>
      </c>
      <c r="AX20">
        <f t="shared" si="33"/>
        <v>0</v>
      </c>
      <c r="AY20" s="3">
        <f t="shared" si="13"/>
        <v>0.06</v>
      </c>
      <c r="AZ20">
        <f t="shared" si="14"/>
        <v>3.2399999999999998E-2</v>
      </c>
      <c r="BA20" s="11">
        <f t="shared" si="34"/>
        <v>4.3799999999999999E-2</v>
      </c>
    </row>
    <row r="21" spans="1:53" x14ac:dyDescent="0.2">
      <c r="A21" t="s">
        <v>12</v>
      </c>
      <c r="B21" s="5">
        <f>B10 + B9 * B15</f>
        <v>0.02</v>
      </c>
      <c r="H21" s="10">
        <f t="shared" si="35"/>
        <v>17</v>
      </c>
      <c r="I21">
        <f t="shared" si="15"/>
        <v>250</v>
      </c>
      <c r="J21">
        <f t="shared" si="16"/>
        <v>0</v>
      </c>
      <c r="K21">
        <f t="shared" si="17"/>
        <v>-100</v>
      </c>
      <c r="L21" s="9">
        <f t="shared" si="0"/>
        <v>0.7141625624649357</v>
      </c>
      <c r="M21" s="11">
        <f t="shared" si="1"/>
        <v>0.7141625624649357</v>
      </c>
      <c r="N21" s="10">
        <f>SUMPRODUCT(I22:I$54, L22:L$54) / L21</f>
        <v>3748.0078129297099</v>
      </c>
      <c r="O21" s="10">
        <f>SUMPRODUCT(J22:J$54, M22:M$54) / M21</f>
        <v>8.9965323013305241E-4</v>
      </c>
      <c r="P21" s="10">
        <f>SUMPRODUCT(K22:K$54, M22:M$54) / M21</f>
        <v>-2398.8563553049362</v>
      </c>
      <c r="Q21" s="10" cm="1">
        <f t="array" ref="Q21">IF($H21 &gt;= $B$12 - 1, 0, SUMPRODUCT(I22:I$54*L22:L$54, $H22:$H$54 - $H21) / L21 /N21) / (1 + $B$10)</f>
        <v>8.7922628081256544</v>
      </c>
      <c r="R21" s="10" cm="1">
        <f t="array" ref="R21">SUMPRODUCT(J22:J$54*L22:L$54, $H22:$H$54 - $H21) / L21 /O21 / (1 + $B$10)</f>
        <v>25.128329227761672</v>
      </c>
      <c r="S21" s="10" cm="1">
        <f t="array" ref="S21">SUMPRODUCT(K22:K$54*M22:M$54, $H22:$H$54 - $H21) / M21 /P21 / (1 + $B$10)</f>
        <v>14.918846790360561</v>
      </c>
      <c r="T21" s="10">
        <f t="shared" si="36"/>
        <v>-98.641758223213941</v>
      </c>
      <c r="U21" s="10">
        <f t="shared" si="37"/>
        <v>51.358241776786059</v>
      </c>
      <c r="V21" s="10">
        <f t="shared" si="18"/>
        <v>1349.1523572780038</v>
      </c>
      <c r="W21">
        <f t="shared" si="38"/>
        <v>1112.3073107183886</v>
      </c>
      <c r="X21" s="10">
        <f t="shared" si="19"/>
        <v>2461.4596679963925</v>
      </c>
      <c r="Y21" s="10">
        <f t="shared" si="2"/>
        <v>3748.0078129297099</v>
      </c>
      <c r="Z21">
        <f t="shared" si="3"/>
        <v>0</v>
      </c>
      <c r="AA21" s="10">
        <f t="shared" si="4"/>
        <v>1781.2686323343926</v>
      </c>
      <c r="AB21" s="10">
        <f t="shared" si="5"/>
        <v>1966.7391805953173</v>
      </c>
      <c r="AC21" s="10">
        <f t="shared" si="6"/>
        <v>1.2219882463568961E-3</v>
      </c>
      <c r="AD21" s="10">
        <f t="shared" si="7"/>
        <v>-3.2233501622384365E-4</v>
      </c>
      <c r="AE21">
        <f t="shared" si="20"/>
        <v>-1934.495699290653</v>
      </c>
      <c r="AF21" s="10">
        <f t="shared" si="8"/>
        <v>-464.36065601428322</v>
      </c>
      <c r="AG21" s="10">
        <f t="shared" si="21"/>
        <v>-153.22584496801392</v>
      </c>
      <c r="AH21" s="10">
        <f t="shared" si="22"/>
        <v>1502.3782022460177</v>
      </c>
      <c r="AI21">
        <f t="shared" si="9"/>
        <v>1519.4195481459215</v>
      </c>
      <c r="AJ21">
        <f t="shared" si="10"/>
        <v>379.85488703648036</v>
      </c>
      <c r="AK21" s="10">
        <f t="shared" si="11"/>
        <v>562.18523281399064</v>
      </c>
      <c r="AL21" s="4">
        <f t="shared" si="23"/>
        <v>0.61728395061728403</v>
      </c>
      <c r="AM21">
        <f t="shared" si="12"/>
        <v>1519.4195481459215</v>
      </c>
      <c r="AN21" s="10">
        <f t="shared" si="24"/>
        <v>533.08073200449428</v>
      </c>
      <c r="AO21" s="10">
        <f t="shared" si="24"/>
        <v>-940.1929694320271</v>
      </c>
      <c r="AP21" s="10">
        <f t="shared" si="25"/>
        <v>-407.11223742753282</v>
      </c>
      <c r="AQ21" s="9">
        <f t="shared" si="26"/>
        <v>0</v>
      </c>
      <c r="AR21" s="9">
        <f t="shared" si="27"/>
        <v>1</v>
      </c>
      <c r="AS21">
        <f t="shared" si="39"/>
        <v>1112.3073107183886</v>
      </c>
      <c r="AT21">
        <f t="shared" si="40"/>
        <v>0</v>
      </c>
      <c r="AU21">
        <f t="shared" si="41"/>
        <v>0</v>
      </c>
      <c r="AV21">
        <f t="shared" si="31"/>
        <v>1</v>
      </c>
      <c r="AW21">
        <f t="shared" si="32"/>
        <v>0</v>
      </c>
      <c r="AX21">
        <f t="shared" si="33"/>
        <v>0</v>
      </c>
      <c r="AY21" s="3">
        <f t="shared" si="13"/>
        <v>0.06</v>
      </c>
      <c r="AZ21">
        <f t="shared" si="14"/>
        <v>3.2399999999999998E-2</v>
      </c>
      <c r="BA21" s="11">
        <f t="shared" si="34"/>
        <v>4.3799999999999999E-2</v>
      </c>
    </row>
    <row r="22" spans="1:53" x14ac:dyDescent="0.2">
      <c r="A22" t="s">
        <v>13</v>
      </c>
      <c r="B22" s="2">
        <f>B10</f>
        <v>0.02</v>
      </c>
      <c r="H22" s="10">
        <f t="shared" si="35"/>
        <v>18</v>
      </c>
      <c r="I22">
        <f t="shared" si="15"/>
        <v>250</v>
      </c>
      <c r="J22">
        <f t="shared" si="16"/>
        <v>0</v>
      </c>
      <c r="K22">
        <f t="shared" si="17"/>
        <v>-100</v>
      </c>
      <c r="L22" s="9">
        <f t="shared" si="0"/>
        <v>0.7001593749656233</v>
      </c>
      <c r="M22" s="11">
        <f t="shared" si="1"/>
        <v>0.7001593749656233</v>
      </c>
      <c r="N22" s="10">
        <f>SUMPRODUCT(I23:I$54, L23:L$54) / L22</f>
        <v>3572.9679691883043</v>
      </c>
      <c r="O22" s="10">
        <f>SUMPRODUCT(J23:J$54, M23:M$54) / M22</f>
        <v>9.1764629473571342E-4</v>
      </c>
      <c r="P22" s="10">
        <f>SUMPRODUCT(K23:K$54, M23:M$54) / M22</f>
        <v>-2346.8334824110348</v>
      </c>
      <c r="Q22" s="10" cm="1">
        <f t="array" ref="Q22">IF($H22 &gt;= $B$12 - 1, 0, SUMPRODUCT(I23:I$54*L23:L$54, $H23:$H$54 - $H22) / L22 /N22) / (1 + $B$10)</f>
        <v>8.3584659971090645</v>
      </c>
      <c r="R22" s="10" cm="1">
        <f t="array" ref="R22">SUMPRODUCT(J23:J$54*L23:L$54, $H23:$H$54 - $H22) / L22 /O22 / (1 + $B$10)</f>
        <v>24.14793707089893</v>
      </c>
      <c r="S22" s="10" cm="1">
        <f t="array" ref="S22">SUMPRODUCT(K23:K$54*M23:M$54, $H23:$H$54 - $H22) / M22 /P22 / (1 + $B$10)</f>
        <v>14.532380650744596</v>
      </c>
      <c r="T22" s="10">
        <f t="shared" si="36"/>
        <v>-97.660691457079096</v>
      </c>
      <c r="U22" s="10">
        <f t="shared" si="37"/>
        <v>52.339308542920904</v>
      </c>
      <c r="V22" s="10">
        <f t="shared" si="18"/>
        <v>1226.1354044235641</v>
      </c>
      <c r="W22">
        <f t="shared" si="38"/>
        <v>1213.3656794707749</v>
      </c>
      <c r="X22" s="10">
        <f t="shared" si="19"/>
        <v>2439.501083894339</v>
      </c>
      <c r="Y22" s="10">
        <f t="shared" si="2"/>
        <v>3572.9679691883043</v>
      </c>
      <c r="Z22">
        <f t="shared" si="3"/>
        <v>0</v>
      </c>
      <c r="AA22" s="10">
        <f t="shared" si="4"/>
        <v>1614.2989880659604</v>
      </c>
      <c r="AB22" s="10">
        <f t="shared" si="5"/>
        <v>1958.6689811223439</v>
      </c>
      <c r="AC22" s="10">
        <f t="shared" si="6"/>
        <v>1.1977981069525179E-3</v>
      </c>
      <c r="AD22" s="10">
        <f t="shared" si="7"/>
        <v>-2.8015181221680452E-4</v>
      </c>
      <c r="AE22">
        <f t="shared" si="20"/>
        <v>-1843.5177021789016</v>
      </c>
      <c r="AF22" s="10">
        <f t="shared" si="8"/>
        <v>-503.31578023213319</v>
      </c>
      <c r="AG22" s="10">
        <f t="shared" si="21"/>
        <v>-229.21751631483426</v>
      </c>
      <c r="AH22" s="10">
        <f t="shared" si="22"/>
        <v>1455.3529207383986</v>
      </c>
      <c r="AI22">
        <f t="shared" si="9"/>
        <v>1505.864866601444</v>
      </c>
      <c r="AJ22">
        <f t="shared" si="10"/>
        <v>376.46621665036099</v>
      </c>
      <c r="AK22" s="10">
        <f t="shared" si="11"/>
        <v>557.17000064253398</v>
      </c>
      <c r="AL22" s="4">
        <f t="shared" si="23"/>
        <v>0.61728395061728403</v>
      </c>
      <c r="AM22">
        <f t="shared" si="12"/>
        <v>1505.864866601444</v>
      </c>
      <c r="AN22" s="10">
        <f t="shared" si="24"/>
        <v>605.6837329651953</v>
      </c>
      <c r="AO22" s="10">
        <f t="shared" si="24"/>
        <v>-898.18292009586457</v>
      </c>
      <c r="AP22" s="10">
        <f t="shared" si="25"/>
        <v>-292.49918713066927</v>
      </c>
      <c r="AQ22" s="9">
        <f t="shared" si="26"/>
        <v>0</v>
      </c>
      <c r="AR22" s="9">
        <f t="shared" si="27"/>
        <v>1</v>
      </c>
      <c r="AS22">
        <f t="shared" si="39"/>
        <v>1213.3656794707749</v>
      </c>
      <c r="AT22">
        <f t="shared" si="40"/>
        <v>0</v>
      </c>
      <c r="AU22">
        <f t="shared" si="41"/>
        <v>0</v>
      </c>
      <c r="AV22">
        <f t="shared" si="31"/>
        <v>1</v>
      </c>
      <c r="AW22">
        <f t="shared" si="32"/>
        <v>0</v>
      </c>
      <c r="AX22">
        <f t="shared" si="33"/>
        <v>0</v>
      </c>
      <c r="AY22" s="3">
        <f t="shared" si="13"/>
        <v>0.06</v>
      </c>
      <c r="AZ22">
        <f t="shared" si="14"/>
        <v>3.2399999999999998E-2</v>
      </c>
      <c r="BA22" s="11">
        <f t="shared" si="34"/>
        <v>4.3799999999999999E-2</v>
      </c>
    </row>
    <row r="23" spans="1:53" x14ac:dyDescent="0.2">
      <c r="H23" s="10">
        <f t="shared" si="35"/>
        <v>19</v>
      </c>
      <c r="I23">
        <f t="shared" si="15"/>
        <v>250</v>
      </c>
      <c r="J23">
        <f t="shared" si="16"/>
        <v>0</v>
      </c>
      <c r="K23">
        <f t="shared" si="17"/>
        <v>-100</v>
      </c>
      <c r="L23" s="9">
        <f t="shared" si="0"/>
        <v>0.68643075977021895</v>
      </c>
      <c r="M23" s="11">
        <f t="shared" si="1"/>
        <v>0.68643075977021895</v>
      </c>
      <c r="N23" s="10">
        <f>SUMPRODUCT(I24:I$54, L24:L$54) / L23</f>
        <v>3394.4273285720701</v>
      </c>
      <c r="O23" s="10">
        <f>SUMPRODUCT(J24:J$54, M24:M$54) / M23</f>
        <v>9.3599922063042763E-4</v>
      </c>
      <c r="P23" s="10">
        <f>SUMPRODUCT(K24:K$54, M24:M$54) / M23</f>
        <v>-2293.770152059255</v>
      </c>
      <c r="Q23" s="10" cm="1">
        <f t="array" ref="Q23">IF($H23 &gt;= $B$12 - 1, 0, SUMPRODUCT(I24:I$54*L24:L$54, $H24:$H$54 - $H23) / L23 /N23) / (1 + $B$10)</f>
        <v>7.9214699072457897</v>
      </c>
      <c r="R23" s="10" cm="1">
        <f t="array" ref="R23">SUMPRODUCT(J24:J$54*L24:L$54, $H24:$H$54 - $H23) / L23 /O23 / (1 + $B$10)</f>
        <v>23.167544914036185</v>
      </c>
      <c r="S23" s="10" cm="1">
        <f t="array" ref="S23">SUMPRODUCT(K24:K$54*M24:M$54, $H24:$H$54 - $H23) / M23 /P23 / (1 + $B$10)</f>
        <v>14.14280568982956</v>
      </c>
      <c r="T23" s="10">
        <f t="shared" si="36"/>
        <v>-96.789464300807808</v>
      </c>
      <c r="U23" s="10">
        <f t="shared" si="37"/>
        <v>53.210535699192192</v>
      </c>
      <c r="V23" s="10">
        <f t="shared" si="18"/>
        <v>1100.6581125120356</v>
      </c>
      <c r="W23">
        <f t="shared" si="38"/>
        <v>1319.7216319307872</v>
      </c>
      <c r="X23" s="10">
        <f t="shared" si="19"/>
        <v>2420.3797444428228</v>
      </c>
      <c r="Y23" s="10">
        <f t="shared" si="2"/>
        <v>3394.4273285720701</v>
      </c>
      <c r="Z23">
        <f t="shared" si="3"/>
        <v>0</v>
      </c>
      <c r="AA23" s="10">
        <f t="shared" si="4"/>
        <v>1453.4515640873713</v>
      </c>
      <c r="AB23" s="10">
        <f t="shared" si="5"/>
        <v>1940.9757644846989</v>
      </c>
      <c r="AC23" s="10">
        <f t="shared" si="6"/>
        <v>1.1721515666734215E-3</v>
      </c>
      <c r="AD23" s="10">
        <f t="shared" si="7"/>
        <v>-2.3615234604299385E-4</v>
      </c>
      <c r="AE23">
        <f t="shared" si="20"/>
        <v>-1753.53219230837</v>
      </c>
      <c r="AF23" s="10">
        <f t="shared" si="8"/>
        <v>-540.23795975088501</v>
      </c>
      <c r="AG23" s="10">
        <f t="shared" si="21"/>
        <v>-300.07945606943213</v>
      </c>
      <c r="AH23" s="10">
        <f t="shared" si="22"/>
        <v>1400.7375685814677</v>
      </c>
      <c r="AI23">
        <f t="shared" si="9"/>
        <v>1494.0615706437179</v>
      </c>
      <c r="AJ23">
        <f t="shared" si="10"/>
        <v>373.51539266092948</v>
      </c>
      <c r="AK23" s="10">
        <f t="shared" si="11"/>
        <v>552.80278113817542</v>
      </c>
      <c r="AL23" s="4">
        <f t="shared" si="23"/>
        <v>0.61728395061728403</v>
      </c>
      <c r="AM23">
        <f t="shared" si="12"/>
        <v>1494.0615706437179</v>
      </c>
      <c r="AN23" s="10">
        <f t="shared" si="24"/>
        <v>673.5948487303616</v>
      </c>
      <c r="AO23" s="10">
        <f t="shared" si="24"/>
        <v>-847.93478744329229</v>
      </c>
      <c r="AP23" s="10">
        <f t="shared" si="25"/>
        <v>-174.33993871293069</v>
      </c>
      <c r="AQ23" s="9">
        <f t="shared" si="26"/>
        <v>0</v>
      </c>
      <c r="AR23" s="9">
        <f t="shared" si="27"/>
        <v>1</v>
      </c>
      <c r="AS23">
        <f t="shared" si="39"/>
        <v>1319.7216319307872</v>
      </c>
      <c r="AT23">
        <f t="shared" si="40"/>
        <v>0</v>
      </c>
      <c r="AU23">
        <f t="shared" si="41"/>
        <v>0</v>
      </c>
      <c r="AV23">
        <f t="shared" si="31"/>
        <v>1</v>
      </c>
      <c r="AW23">
        <f t="shared" si="32"/>
        <v>0</v>
      </c>
      <c r="AX23">
        <f t="shared" si="33"/>
        <v>0</v>
      </c>
      <c r="AY23" s="3">
        <f t="shared" si="13"/>
        <v>0.06</v>
      </c>
      <c r="AZ23">
        <f t="shared" si="14"/>
        <v>3.2399999999999998E-2</v>
      </c>
      <c r="BA23" s="11">
        <f t="shared" si="34"/>
        <v>4.3799999999999999E-2</v>
      </c>
    </row>
    <row r="24" spans="1:53" x14ac:dyDescent="0.2">
      <c r="A24" t="s">
        <v>14</v>
      </c>
      <c r="H24" s="10">
        <f t="shared" si="35"/>
        <v>20</v>
      </c>
      <c r="I24">
        <f t="shared" si="15"/>
        <v>250</v>
      </c>
      <c r="J24">
        <f t="shared" si="16"/>
        <v>0</v>
      </c>
      <c r="K24">
        <f t="shared" si="17"/>
        <v>-100</v>
      </c>
      <c r="L24" s="9">
        <f t="shared" si="0"/>
        <v>0.67297133310805779</v>
      </c>
      <c r="M24" s="11">
        <f t="shared" si="1"/>
        <v>0.67297133310805779</v>
      </c>
      <c r="N24" s="10">
        <f>SUMPRODUCT(I25:I$54, L25:L$54) / L24</f>
        <v>3212.3158751435112</v>
      </c>
      <c r="O24" s="10">
        <f>SUMPRODUCT(J25:J$54, M25:M$54) / M24</f>
        <v>9.5471920504303618E-4</v>
      </c>
      <c r="P24" s="10">
        <f>SUMPRODUCT(K25:K$54, M25:M$54) / M24</f>
        <v>-2239.6455551004401</v>
      </c>
      <c r="Q24" s="10" cm="1">
        <f t="array" ref="Q24">IF($H24 &gt;= $B$12 - 1, 0, SUMPRODUCT(I25:I$54*L25:L$54, $H25:$H$54 - $H24) / L24 /N24) / (1 + $B$10)</f>
        <v>7.4812704042322649</v>
      </c>
      <c r="R24" s="10" cm="1">
        <f t="array" ref="R24">SUMPRODUCT(J25:J$54*L25:L$54, $H25:$H$54 - $H24) / L24 /O24 / (1 + $B$10)</f>
        <v>22.18715275717344</v>
      </c>
      <c r="S24" s="10" cm="1">
        <f t="array" ref="S24">SUMPRODUCT(K25:K$54*M25:M$54, $H25:$H$54 - $H24) / M24 /P24 / (1 + $B$10)</f>
        <v>13.750114274407416</v>
      </c>
      <c r="T24" s="10">
        <f t="shared" si="36"/>
        <v>-96.030807453124964</v>
      </c>
      <c r="U24" s="10">
        <f t="shared" si="37"/>
        <v>53.969192546875036</v>
      </c>
      <c r="V24" s="10">
        <f t="shared" si="18"/>
        <v>972.67127476227597</v>
      </c>
      <c r="W24">
        <f t="shared" si="38"/>
        <v>1431.4946319562309</v>
      </c>
      <c r="X24" s="10">
        <f t="shared" si="19"/>
        <v>2404.1659067185069</v>
      </c>
      <c r="Y24" s="10">
        <f t="shared" si="2"/>
        <v>3212.3158751435112</v>
      </c>
      <c r="Z24">
        <f t="shared" si="3"/>
        <v>0</v>
      </c>
      <c r="AA24" s="10">
        <f t="shared" si="4"/>
        <v>1299.0380370679252</v>
      </c>
      <c r="AB24" s="10">
        <f t="shared" si="5"/>
        <v>1913.277838075586</v>
      </c>
      <c r="AC24" s="10">
        <f t="shared" si="6"/>
        <v>1.1450000455403802E-3</v>
      </c>
      <c r="AD24" s="10">
        <f t="shared" si="7"/>
        <v>-1.9028084049734406E-4</v>
      </c>
      <c r="AE24">
        <f t="shared" si="20"/>
        <v>-1664.6152603675505</v>
      </c>
      <c r="AF24" s="10">
        <f t="shared" si="8"/>
        <v>-575.03029473288962</v>
      </c>
      <c r="AG24" s="10">
        <f t="shared" si="21"/>
        <v>-365.57607829957965</v>
      </c>
      <c r="AH24" s="10">
        <f t="shared" si="22"/>
        <v>1338.2473530618558</v>
      </c>
      <c r="AI24">
        <f t="shared" si="9"/>
        <v>1484.0530288385846</v>
      </c>
      <c r="AJ24">
        <f t="shared" si="10"/>
        <v>371.01325720964616</v>
      </c>
      <c r="AK24" s="10">
        <f t="shared" si="11"/>
        <v>549.09962067027618</v>
      </c>
      <c r="AL24" s="4">
        <f t="shared" si="23"/>
        <v>0.61728395061728403</v>
      </c>
      <c r="AM24">
        <f t="shared" si="12"/>
        <v>1484.0530288385846</v>
      </c>
      <c r="AN24" s="10">
        <f t="shared" si="24"/>
        <v>736.58933550922575</v>
      </c>
      <c r="AO24" s="10">
        <f t="shared" si="24"/>
        <v>-789.14773239157967</v>
      </c>
      <c r="AP24" s="10">
        <f t="shared" si="25"/>
        <v>-52.558396882353918</v>
      </c>
      <c r="AQ24" s="9">
        <f t="shared" si="26"/>
        <v>0</v>
      </c>
      <c r="AR24" s="9">
        <f t="shared" si="27"/>
        <v>1</v>
      </c>
      <c r="AS24">
        <f t="shared" si="39"/>
        <v>1431.4946319562309</v>
      </c>
      <c r="AT24">
        <f t="shared" si="40"/>
        <v>0</v>
      </c>
      <c r="AU24">
        <f t="shared" si="41"/>
        <v>0</v>
      </c>
      <c r="AV24">
        <f t="shared" si="31"/>
        <v>1</v>
      </c>
      <c r="AW24">
        <f t="shared" si="32"/>
        <v>0</v>
      </c>
      <c r="AX24">
        <f t="shared" si="33"/>
        <v>0</v>
      </c>
      <c r="AY24" s="3">
        <f t="shared" si="13"/>
        <v>0.06</v>
      </c>
      <c r="AZ24">
        <f t="shared" si="14"/>
        <v>3.2399999999999998E-2</v>
      </c>
      <c r="BA24" s="11">
        <f t="shared" si="34"/>
        <v>4.3799999999999999E-2</v>
      </c>
    </row>
    <row r="25" spans="1:53" x14ac:dyDescent="0.2">
      <c r="A25" t="s">
        <v>15</v>
      </c>
      <c r="B25" s="4">
        <f>B15/C15</f>
        <v>0.22222222222222224</v>
      </c>
      <c r="H25" s="10">
        <f t="shared" si="35"/>
        <v>21</v>
      </c>
      <c r="I25">
        <f t="shared" si="15"/>
        <v>250</v>
      </c>
      <c r="J25">
        <f t="shared" si="16"/>
        <v>0</v>
      </c>
      <c r="K25">
        <f t="shared" si="17"/>
        <v>-100</v>
      </c>
      <c r="L25" s="9">
        <f t="shared" si="0"/>
        <v>0.65977581677260566</v>
      </c>
      <c r="M25" s="11">
        <f t="shared" si="1"/>
        <v>0.65977581677260566</v>
      </c>
      <c r="N25" s="10">
        <f>SUMPRODUCT(I26:I$54, L26:L$54) / L25</f>
        <v>3026.5621926463809</v>
      </c>
      <c r="O25" s="10">
        <f>SUMPRODUCT(J26:J$54, M26:M$54) / M25</f>
        <v>9.7381358914389688E-4</v>
      </c>
      <c r="P25" s="10">
        <f>SUMPRODUCT(K26:K$54, M26:M$54) / M25</f>
        <v>-2184.4384662024495</v>
      </c>
      <c r="Q25" s="10" cm="1">
        <f t="array" ref="Q25">IF($H25 &gt;= $B$12 - 1, 0, SUMPRODUCT(I26:I$54*L26:L$54, $H26:$H$54 - $H25) / L25 /N25) / (1 + $B$10)</f>
        <v>7.0378635985350027</v>
      </c>
      <c r="R25" s="10" cm="1">
        <f t="array" ref="R25">SUMPRODUCT(J26:J$54*L26:L$54, $H26:$H$54 - $H25) / L25 /O25 / (1 + $B$10)</f>
        <v>21.206760600310695</v>
      </c>
      <c r="S25" s="10" cm="1">
        <f t="array" ref="S25">SUMPRODUCT(K26:K$54*M26:M$54, $H26:$H$54 - $H25) / M25 /P25 / (1 + $B$10)</f>
        <v>13.354298992339601</v>
      </c>
      <c r="T25" s="10">
        <f t="shared" si="36"/>
        <v>-95.387508428600029</v>
      </c>
      <c r="U25" s="10">
        <f t="shared" si="37"/>
        <v>54.612491571399971</v>
      </c>
      <c r="V25" s="10">
        <f t="shared" si="18"/>
        <v>842.12470025752054</v>
      </c>
      <c r="W25">
        <f>W24 * (1+BA24) + U25</f>
        <v>1548.8065884073139</v>
      </c>
      <c r="X25" s="10">
        <f t="shared" si="19"/>
        <v>2390.9312886648345</v>
      </c>
      <c r="Y25" s="10">
        <f t="shared" si="2"/>
        <v>3026.5621926463809</v>
      </c>
      <c r="Z25">
        <f t="shared" si="3"/>
        <v>0</v>
      </c>
      <c r="AA25" s="10">
        <f t="shared" si="4"/>
        <v>1151.380101855581</v>
      </c>
      <c r="AB25" s="10">
        <f t="shared" si="5"/>
        <v>1875.1820907908</v>
      </c>
      <c r="AC25" s="10">
        <f t="shared" si="6"/>
        <v>1.1162936029353481E-3</v>
      </c>
      <c r="AD25" s="10">
        <f t="shared" si="7"/>
        <v>-1.4248001379145122E-4</v>
      </c>
      <c r="AE25">
        <f t="shared" si="20"/>
        <v>-1576.8456436775803</v>
      </c>
      <c r="AF25" s="10">
        <f t="shared" si="8"/>
        <v>-607.59282252486923</v>
      </c>
      <c r="AG25" s="10">
        <f t="shared" si="21"/>
        <v>-425.4644255283963</v>
      </c>
      <c r="AH25" s="10">
        <f t="shared" si="22"/>
        <v>1267.5891257859171</v>
      </c>
      <c r="AI25">
        <f t="shared" si="9"/>
        <v>1475.8835115215029</v>
      </c>
      <c r="AJ25">
        <f t="shared" si="10"/>
        <v>368.97087788037572</v>
      </c>
      <c r="AK25" s="10">
        <f t="shared" si="11"/>
        <v>546.07689926295586</v>
      </c>
      <c r="AL25" s="4">
        <f t="shared" si="23"/>
        <v>0.61728395061728403</v>
      </c>
      <c r="AM25">
        <f t="shared" si="12"/>
        <v>1475.8835115215029</v>
      </c>
      <c r="AN25" s="10">
        <f t="shared" si="24"/>
        <v>794.43530340877203</v>
      </c>
      <c r="AO25" s="10">
        <f t="shared" si="24"/>
        <v>-721.51222652296121</v>
      </c>
      <c r="AP25" s="10">
        <f t="shared" si="25"/>
        <v>72.923076885810815</v>
      </c>
      <c r="AQ25" s="9">
        <f t="shared" si="26"/>
        <v>1</v>
      </c>
      <c r="AR25" s="9">
        <f t="shared" si="27"/>
        <v>0</v>
      </c>
      <c r="AS25">
        <f t="shared" si="39"/>
        <v>1475.8835115215029</v>
      </c>
      <c r="AT25">
        <f t="shared" si="40"/>
        <v>72.923076885810815</v>
      </c>
      <c r="AU25">
        <f t="shared" si="41"/>
        <v>2.2737367544323206E-13</v>
      </c>
      <c r="AV25">
        <f t="shared" si="31"/>
        <v>0.95291660209116225</v>
      </c>
      <c r="AW25">
        <f t="shared" si="32"/>
        <v>4.7083397908837595E-2</v>
      </c>
      <c r="AX25">
        <f t="shared" si="33"/>
        <v>1.4680572586990832E-16</v>
      </c>
      <c r="AY25" s="3">
        <f t="shared" si="13"/>
        <v>5.8587498062734875E-2</v>
      </c>
      <c r="AZ25">
        <f t="shared" si="14"/>
        <v>2.949264745954731E-2</v>
      </c>
      <c r="BA25" s="11">
        <f t="shared" si="34"/>
        <v>4.3841174332961218E-2</v>
      </c>
    </row>
    <row r="26" spans="1:53" x14ac:dyDescent="0.2">
      <c r="A26" t="s">
        <v>7</v>
      </c>
      <c r="B26" s="4">
        <f>B16/C16</f>
        <v>5.5555555555555559E-2</v>
      </c>
      <c r="H26" s="10">
        <f t="shared" si="35"/>
        <v>22</v>
      </c>
      <c r="I26">
        <f t="shared" si="15"/>
        <v>250</v>
      </c>
      <c r="J26">
        <f t="shared" si="16"/>
        <v>0</v>
      </c>
      <c r="K26">
        <f t="shared" si="17"/>
        <v>-100</v>
      </c>
      <c r="L26" s="9">
        <f t="shared" si="0"/>
        <v>0.64683903605157411</v>
      </c>
      <c r="M26" s="11">
        <f t="shared" si="1"/>
        <v>0.64683903605157411</v>
      </c>
      <c r="N26" s="10">
        <f>SUMPRODUCT(I27:I$54, L27:L$54) / L26</f>
        <v>2837.0934364993095</v>
      </c>
      <c r="O26" s="10">
        <f>SUMPRODUCT(J27:J$54, M27:M$54) / M26</f>
        <v>9.9328986092677503E-4</v>
      </c>
      <c r="P26" s="10">
        <f>SUMPRODUCT(K27:K$54, M27:M$54) / M26</f>
        <v>-2128.1272355264987</v>
      </c>
      <c r="Q26" s="10" cm="1">
        <f t="array" ref="Q26">IF($H26 &gt;= $B$12 - 1, 0, SUMPRODUCT(I27:I$54*L27:L$54, $H27:$H$54 - $H26) / L26 /N26) / (1 + $B$10)</f>
        <v>6.5912458464682588</v>
      </c>
      <c r="R26" s="10" cm="1">
        <f t="array" ref="R26">SUMPRODUCT(J27:J$54*L27:L$54, $H27:$H$54 - $H26) / L26 /O26 / (1 + $B$10)</f>
        <v>20.226368443447949</v>
      </c>
      <c r="S26" s="10" cm="1">
        <f t="array" ref="S26">SUMPRODUCT(K27:K$54*M27:M$54, $H27:$H$54 - $H26) / M26 /P26 / (1 + $B$10)</f>
        <v>12.955352654547704</v>
      </c>
      <c r="T26" s="10">
        <f t="shared" si="36"/>
        <v>-94.862412703044598</v>
      </c>
      <c r="U26" s="10">
        <f t="shared" si="37"/>
        <v>55.137587296955402</v>
      </c>
      <c r="V26" s="10">
        <f t="shared" si="18"/>
        <v>708.96719426267191</v>
      </c>
      <c r="W26">
        <f t="shared" ref="W26:W54" si="42">W25 * (1+BA25) + U26</f>
        <v>1671.8456753546732</v>
      </c>
      <c r="X26" s="10">
        <f t="shared" si="19"/>
        <v>2380.8128696173453</v>
      </c>
      <c r="Y26" s="10">
        <f t="shared" si="2"/>
        <v>2837.0934364993095</v>
      </c>
      <c r="Z26">
        <f t="shared" si="3"/>
        <v>0</v>
      </c>
      <c r="AA26" s="10">
        <f t="shared" si="4"/>
        <v>1010.8097475334288</v>
      </c>
      <c r="AB26" s="10">
        <f t="shared" si="5"/>
        <v>1826.2836889658806</v>
      </c>
      <c r="AC26" s="10">
        <f t="shared" si="6"/>
        <v>1.0859809026078986E-3</v>
      </c>
      <c r="AD26" s="10">
        <f t="shared" si="7"/>
        <v>-9.2691041681123611E-5</v>
      </c>
      <c r="AE26">
        <f t="shared" si="20"/>
        <v>-1490.3048016212699</v>
      </c>
      <c r="AF26" s="10">
        <f t="shared" si="8"/>
        <v>-637.82243390522876</v>
      </c>
      <c r="AG26" s="10">
        <f t="shared" si="21"/>
        <v>-479.4939681069385</v>
      </c>
      <c r="AH26" s="10">
        <f t="shared" si="22"/>
        <v>1188.4611623696101</v>
      </c>
      <c r="AI26">
        <f t="shared" si="9"/>
        <v>1469.6375738378676</v>
      </c>
      <c r="AJ26">
        <f t="shared" si="10"/>
        <v>367.40939345946691</v>
      </c>
      <c r="AK26" s="10">
        <f t="shared" si="11"/>
        <v>543.76590232001081</v>
      </c>
      <c r="AL26" s="4">
        <f t="shared" si="23"/>
        <v>0.61728395061728403</v>
      </c>
      <c r="AM26">
        <f t="shared" si="12"/>
        <v>1469.6375738378676</v>
      </c>
      <c r="AN26" s="10">
        <f t="shared" si="24"/>
        <v>846.90336156640547</v>
      </c>
      <c r="AO26" s="10">
        <f t="shared" si="24"/>
        <v>-644.69526004959926</v>
      </c>
      <c r="AP26" s="10">
        <f t="shared" si="25"/>
        <v>202.20810151680621</v>
      </c>
      <c r="AQ26" s="9">
        <f t="shared" si="26"/>
        <v>1</v>
      </c>
      <c r="AR26" s="9">
        <f t="shared" si="27"/>
        <v>0</v>
      </c>
      <c r="AS26">
        <f t="shared" si="39"/>
        <v>1469.6375738378676</v>
      </c>
      <c r="AT26">
        <f t="shared" si="40"/>
        <v>202.20810151680621</v>
      </c>
      <c r="AU26">
        <f t="shared" si="41"/>
        <v>-6.8212102632969618E-13</v>
      </c>
      <c r="AV26">
        <f t="shared" si="31"/>
        <v>0.87905097671535493</v>
      </c>
      <c r="AW26">
        <f t="shared" si="32"/>
        <v>0.12094902328464548</v>
      </c>
      <c r="AX26">
        <f t="shared" si="33"/>
        <v>-4.0800477961878139E-16</v>
      </c>
      <c r="AY26" s="3">
        <f t="shared" si="13"/>
        <v>5.6371529301460652E-2</v>
      </c>
      <c r="AZ26">
        <f t="shared" si="14"/>
        <v>2.5510440863086424E-2</v>
      </c>
      <c r="BA26" s="11">
        <f t="shared" si="34"/>
        <v>4.3616308869917436E-2</v>
      </c>
    </row>
    <row r="27" spans="1:53" x14ac:dyDescent="0.2">
      <c r="H27" s="10">
        <f t="shared" si="35"/>
        <v>23</v>
      </c>
      <c r="I27">
        <f t="shared" si="15"/>
        <v>250</v>
      </c>
      <c r="J27">
        <f t="shared" si="16"/>
        <v>0</v>
      </c>
      <c r="K27">
        <f t="shared" si="17"/>
        <v>-100</v>
      </c>
      <c r="L27" s="9">
        <f t="shared" si="0"/>
        <v>0.63415591769762181</v>
      </c>
      <c r="M27" s="11">
        <f t="shared" si="1"/>
        <v>0.63415591769762181</v>
      </c>
      <c r="N27" s="10">
        <f>SUMPRODUCT(I28:I$54, L28:L$54) / L27</f>
        <v>2643.8353052292955</v>
      </c>
      <c r="O27" s="10">
        <f>SUMPRODUCT(J28:J$54, M28:M$54) / M27</f>
        <v>1.0131556581453101E-3</v>
      </c>
      <c r="P27" s="10">
        <f>SUMPRODUCT(K28:K$54, M28:M$54) / M27</f>
        <v>-2070.6897802370281</v>
      </c>
      <c r="Q27" s="10" cm="1">
        <f t="array" ref="Q27">IF($H27 &gt;= $B$12 - 1, 0, SUMPRODUCT(I28:I$54*L28:L$54, $H28:$H$54 - $H27) / L27 /N27) / (1 + $B$10)</f>
        <v>6.1414137512050084</v>
      </c>
      <c r="R27" s="10" cm="1">
        <f t="array" ref="R27">SUMPRODUCT(J28:J$54*L28:L$54, $H28:$H$54 - $H27) / L27 /O27 / (1 + $B$10)</f>
        <v>19.245976286585208</v>
      </c>
      <c r="S27" s="10" cm="1">
        <f t="array" ref="S27">SUMPRODUCT(K28:K$54*M28:M$54, $H28:$H$54 - $H27) / M27 /P27 / (1 + $B$10)</f>
        <v>12.553268296949522</v>
      </c>
      <c r="T27" s="10">
        <f t="shared" si="36"/>
        <v>-94.460955058428937</v>
      </c>
      <c r="U27" s="10">
        <f t="shared" si="37"/>
        <v>55.539044941571063</v>
      </c>
      <c r="V27" s="10">
        <f t="shared" si="18"/>
        <v>573.14653814792564</v>
      </c>
      <c r="W27">
        <f t="shared" si="42"/>
        <v>1800.3044576553496</v>
      </c>
      <c r="X27" s="10">
        <f t="shared" si="19"/>
        <v>2373.450995803275</v>
      </c>
      <c r="Y27" s="10">
        <f t="shared" si="2"/>
        <v>2643.8353052292955</v>
      </c>
      <c r="Z27">
        <f t="shared" si="3"/>
        <v>0</v>
      </c>
      <c r="AA27" s="10">
        <f t="shared" si="4"/>
        <v>877.66954051116147</v>
      </c>
      <c r="AB27" s="10">
        <f t="shared" si="5"/>
        <v>1766.1657647181341</v>
      </c>
      <c r="AC27" s="10">
        <f t="shared" si="6"/>
        <v>1.0540091768261766E-3</v>
      </c>
      <c r="AD27" s="10">
        <f t="shared" si="7"/>
        <v>-4.0853518680866469E-5</v>
      </c>
      <c r="AE27">
        <f t="shared" si="20"/>
        <v>-1405.076993030641</v>
      </c>
      <c r="AF27" s="10">
        <f t="shared" si="8"/>
        <v>-665.61278720638711</v>
      </c>
      <c r="AG27" s="10">
        <f t="shared" si="21"/>
        <v>-527.40639851030267</v>
      </c>
      <c r="AH27" s="10">
        <f t="shared" si="22"/>
        <v>1100.5529366582282</v>
      </c>
      <c r="AI27">
        <f t="shared" si="9"/>
        <v>1465.0932072859723</v>
      </c>
      <c r="AJ27">
        <f t="shared" si="10"/>
        <v>366.27330182149308</v>
      </c>
      <c r="AK27" s="10">
        <f t="shared" si="11"/>
        <v>542.08448669580957</v>
      </c>
      <c r="AL27" s="4">
        <f t="shared" si="23"/>
        <v>0.61728395061728403</v>
      </c>
      <c r="AM27">
        <f t="shared" si="12"/>
        <v>1465.0932072859723</v>
      </c>
      <c r="AN27" s="10">
        <f t="shared" si="24"/>
        <v>893.67970033179574</v>
      </c>
      <c r="AO27" s="10">
        <f t="shared" si="24"/>
        <v>-558.46844996241862</v>
      </c>
      <c r="AP27" s="10">
        <f t="shared" si="25"/>
        <v>335.21125036937713</v>
      </c>
      <c r="AQ27" s="9">
        <f t="shared" si="26"/>
        <v>1</v>
      </c>
      <c r="AR27" s="9">
        <f t="shared" si="27"/>
        <v>0</v>
      </c>
      <c r="AS27">
        <f t="shared" si="39"/>
        <v>1465.0932072859723</v>
      </c>
      <c r="AT27">
        <f t="shared" si="40"/>
        <v>335.21125036937713</v>
      </c>
      <c r="AU27">
        <f t="shared" si="41"/>
        <v>0</v>
      </c>
      <c r="AV27">
        <f t="shared" si="31"/>
        <v>0.81380302151451434</v>
      </c>
      <c r="AW27">
        <f t="shared" si="32"/>
        <v>0.18619697848548572</v>
      </c>
      <c r="AX27">
        <f t="shared" si="33"/>
        <v>0</v>
      </c>
      <c r="AY27" s="3">
        <f t="shared" si="13"/>
        <v>5.4414090645435439E-2</v>
      </c>
      <c r="AZ27">
        <f t="shared" si="14"/>
        <v>2.2581007392994193E-2</v>
      </c>
      <c r="BA27" s="11">
        <f t="shared" si="34"/>
        <v>4.3123586948938343E-2</v>
      </c>
    </row>
    <row r="28" spans="1:53" x14ac:dyDescent="0.2">
      <c r="A28" t="s">
        <v>17</v>
      </c>
      <c r="B28">
        <f>1/B7 / (1 - D15^2)</f>
        <v>0.5</v>
      </c>
      <c r="H28" s="10">
        <f t="shared" si="35"/>
        <v>24</v>
      </c>
      <c r="I28">
        <f t="shared" si="15"/>
        <v>250</v>
      </c>
      <c r="J28">
        <f t="shared" si="16"/>
        <v>0</v>
      </c>
      <c r="K28">
        <f t="shared" si="17"/>
        <v>-100</v>
      </c>
      <c r="L28" s="9">
        <f t="shared" si="0"/>
        <v>0.62172148793884485</v>
      </c>
      <c r="M28" s="11">
        <f t="shared" si="1"/>
        <v>0.62172148793884485</v>
      </c>
      <c r="N28" s="10">
        <f>SUMPRODUCT(I29:I$54, L29:L$54) / L28</f>
        <v>2446.7120113338815</v>
      </c>
      <c r="O28" s="10">
        <f>SUMPRODUCT(J29:J$54, M29:M$54) / M28</f>
        <v>1.0334187713082164E-3</v>
      </c>
      <c r="P28" s="10">
        <f>SUMPRODUCT(K29:K$54, M29:M$54) / M28</f>
        <v>-2012.1035758417688</v>
      </c>
      <c r="Q28" s="10" cm="1">
        <f t="array" ref="Q28">IF($H28 &gt;= $B$12 - 1, 0, SUMPRODUCT(I29:I$54*L29:L$54, $H29:$H$54 - $H28) / L28 /N28) / (1 + $B$10)</f>
        <v>5.6883641637205686</v>
      </c>
      <c r="R28" s="10" cm="1">
        <f t="array" ref="R28">SUMPRODUCT(J29:J$54*L29:L$54, $H29:$H$54 - $H28) / L28 /O28 / (1 + $B$10)</f>
        <v>18.265584129722463</v>
      </c>
      <c r="S28" s="10" cm="1">
        <f t="array" ref="S28">SUMPRODUCT(K29:K$54*M29:M$54, $H29:$H$54 - $H28) / M28 /P28 / (1 + $B$10)</f>
        <v>12.148039182339472</v>
      </c>
      <c r="T28" s="10">
        <f t="shared" si="36"/>
        <v>-94.168865898305867</v>
      </c>
      <c r="U28" s="10">
        <f t="shared" si="37"/>
        <v>55.831134101694133</v>
      </c>
      <c r="V28" s="10">
        <f t="shared" si="18"/>
        <v>434.60946891088406</v>
      </c>
      <c r="W28">
        <f t="shared" si="42"/>
        <v>1933.7711775713053</v>
      </c>
      <c r="X28" s="10">
        <f t="shared" si="19"/>
        <v>2368.3806464821891</v>
      </c>
      <c r="Y28" s="10">
        <f t="shared" si="2"/>
        <v>2446.7120113338815</v>
      </c>
      <c r="Z28">
        <f t="shared" si="3"/>
        <v>0</v>
      </c>
      <c r="AA28" s="10">
        <f t="shared" si="4"/>
        <v>752.31291482250413</v>
      </c>
      <c r="AB28" s="10">
        <f t="shared" si="5"/>
        <v>1694.3990965113774</v>
      </c>
      <c r="AC28" s="10">
        <f t="shared" si="6"/>
        <v>1.0203241896521429E-3</v>
      </c>
      <c r="AD28" s="10">
        <f t="shared" si="7"/>
        <v>1.3094581656073519E-5</v>
      </c>
      <c r="AE28">
        <f t="shared" si="20"/>
        <v>-1321.2493555811443</v>
      </c>
      <c r="AF28" s="10">
        <f t="shared" si="8"/>
        <v>-690.85422026062452</v>
      </c>
      <c r="AG28" s="10">
        <f t="shared" si="21"/>
        <v>-568.93542043445052</v>
      </c>
      <c r="AH28" s="10">
        <f t="shared" si="22"/>
        <v>1003.5448893453345</v>
      </c>
      <c r="AI28">
        <f t="shared" si="9"/>
        <v>1461.9633620260429</v>
      </c>
      <c r="AJ28">
        <f t="shared" si="10"/>
        <v>365.49084050651072</v>
      </c>
      <c r="AK28" s="10">
        <f t="shared" si="11"/>
        <v>540.92644394963554</v>
      </c>
      <c r="AL28" s="4">
        <f t="shared" si="23"/>
        <v>0.61728395061728403</v>
      </c>
      <c r="AM28">
        <f t="shared" si="12"/>
        <v>1461.9633620260429</v>
      </c>
      <c r="AN28" s="10">
        <f t="shared" si="24"/>
        <v>934.42626094096124</v>
      </c>
      <c r="AO28" s="10">
        <f t="shared" si="24"/>
        <v>-462.61844539569893</v>
      </c>
      <c r="AP28" s="10">
        <f t="shared" si="25"/>
        <v>471.80781554526232</v>
      </c>
      <c r="AQ28" s="9">
        <f t="shared" si="26"/>
        <v>1</v>
      </c>
      <c r="AR28" s="9">
        <f t="shared" si="27"/>
        <v>0</v>
      </c>
      <c r="AS28">
        <f t="shared" si="39"/>
        <v>1461.9633620260429</v>
      </c>
      <c r="AT28">
        <f t="shared" si="40"/>
        <v>471.80781554526232</v>
      </c>
      <c r="AU28">
        <f t="shared" si="41"/>
        <v>0</v>
      </c>
      <c r="AV28">
        <f t="shared" si="31"/>
        <v>0.75601672989157742</v>
      </c>
      <c r="AW28">
        <f t="shared" si="32"/>
        <v>0.24398327010842266</v>
      </c>
      <c r="AX28">
        <f t="shared" si="33"/>
        <v>0</v>
      </c>
      <c r="AY28" s="3">
        <f t="shared" si="13"/>
        <v>5.268050189674732E-2</v>
      </c>
      <c r="AZ28">
        <f t="shared" si="14"/>
        <v>2.0447287875787624E-2</v>
      </c>
      <c r="BA28" s="11">
        <f t="shared" si="34"/>
        <v>4.2456857958853511E-2</v>
      </c>
    </row>
    <row r="29" spans="1:53" x14ac:dyDescent="0.2">
      <c r="A29" t="s">
        <v>18</v>
      </c>
      <c r="H29" s="10">
        <f t="shared" si="35"/>
        <v>25</v>
      </c>
      <c r="I29">
        <f t="shared" si="15"/>
        <v>250</v>
      </c>
      <c r="J29">
        <f t="shared" si="16"/>
        <v>0</v>
      </c>
      <c r="K29">
        <f t="shared" si="17"/>
        <v>-100</v>
      </c>
      <c r="L29" s="9">
        <f t="shared" si="0"/>
        <v>0.60953087052827937</v>
      </c>
      <c r="M29" s="11">
        <f t="shared" si="1"/>
        <v>0.60953087052827937</v>
      </c>
      <c r="N29" s="10">
        <f>SUMPRODUCT(I30:I$54, L30:L$54) / L29</f>
        <v>2245.6462515605581</v>
      </c>
      <c r="O29" s="10">
        <f>SUMPRODUCT(J30:J$54, M30:M$54) / M29</f>
        <v>1.0540871467343807E-3</v>
      </c>
      <c r="P29" s="10">
        <f>SUMPRODUCT(K30:K$54, M30:M$54) / M29</f>
        <v>-1952.3456473586036</v>
      </c>
      <c r="Q29" s="10" cm="1">
        <f t="array" ref="Q29">IF($H29 &gt;= $B$12 - 1, 0, SUMPRODUCT(I30:I$54*L30:L$54, $H30:$H$54 - $H29) / L29 /N29) / (1 + $B$10)</f>
        <v>5.2320941836684103</v>
      </c>
      <c r="R29" s="10" cm="1">
        <f t="array" ref="R29">SUMPRODUCT(J30:J$54*L30:L$54, $H30:$H$54 - $H29) / L29 /O29 / (1 + $B$10)</f>
        <v>17.285191972859714</v>
      </c>
      <c r="S29" s="10" cm="1">
        <f t="array" ref="S29">SUMPRODUCT(K30:K$54*M30:M$54, $H30:$H$54 - $H29) / M29 /P29 / (1 + $B$10)</f>
        <v>11.739658802212361</v>
      </c>
      <c r="T29" s="10">
        <f t="shared" si="36"/>
        <v>-93.967695094223899</v>
      </c>
      <c r="U29" s="10">
        <f t="shared" si="37"/>
        <v>56.032304905776101</v>
      </c>
      <c r="V29" s="10">
        <f t="shared" si="18"/>
        <v>293.30165828910117</v>
      </c>
      <c r="W29">
        <f t="shared" si="42"/>
        <v>2071.9053306881515</v>
      </c>
      <c r="X29" s="10">
        <f t="shared" si="19"/>
        <v>2365.2069889772529</v>
      </c>
      <c r="Y29" s="10">
        <f t="shared" si="2"/>
        <v>2245.6462515605581</v>
      </c>
      <c r="Z29">
        <f t="shared" si="3"/>
        <v>0</v>
      </c>
      <c r="AA29" s="10">
        <f t="shared" si="4"/>
        <v>635.10446980360882</v>
      </c>
      <c r="AB29" s="10">
        <f t="shared" si="5"/>
        <v>1610.5417817569491</v>
      </c>
      <c r="AC29" s="10">
        <f t="shared" si="6"/>
        <v>9.8487019932041705E-4</v>
      </c>
      <c r="AD29" s="10">
        <f t="shared" si="7"/>
        <v>6.921694741396367E-5</v>
      </c>
      <c r="AE29">
        <f t="shared" si="20"/>
        <v>-1238.9119872418605</v>
      </c>
      <c r="AF29" s="10">
        <f t="shared" si="8"/>
        <v>-713.43366011674311</v>
      </c>
      <c r="AG29" s="10">
        <f t="shared" si="21"/>
        <v>-603.80653256805238</v>
      </c>
      <c r="AH29" s="10">
        <f t="shared" si="22"/>
        <v>897.10819085715343</v>
      </c>
      <c r="AI29">
        <f t="shared" si="9"/>
        <v>1460.0043141834897</v>
      </c>
      <c r="AJ29">
        <f t="shared" si="10"/>
        <v>365.00107854587242</v>
      </c>
      <c r="AK29" s="10">
        <f t="shared" si="11"/>
        <v>540.20159624789085</v>
      </c>
      <c r="AL29" s="4">
        <f t="shared" si="23"/>
        <v>0.61728395061728403</v>
      </c>
      <c r="AM29">
        <f t="shared" si="12"/>
        <v>1460.0043141834897</v>
      </c>
      <c r="AN29" s="10">
        <f t="shared" si="24"/>
        <v>968.80761111392485</v>
      </c>
      <c r="AO29" s="10">
        <f t="shared" si="24"/>
        <v>-356.90659460926258</v>
      </c>
      <c r="AP29" s="10">
        <f t="shared" si="25"/>
        <v>611.90101650466227</v>
      </c>
      <c r="AQ29" s="9">
        <f t="shared" si="26"/>
        <v>1</v>
      </c>
      <c r="AR29" s="9">
        <f t="shared" si="27"/>
        <v>0</v>
      </c>
      <c r="AS29">
        <f t="shared" si="39"/>
        <v>1460.0043141834897</v>
      </c>
      <c r="AT29">
        <f t="shared" si="40"/>
        <v>611.90101650466227</v>
      </c>
      <c r="AU29">
        <f t="shared" si="41"/>
        <v>0</v>
      </c>
      <c r="AV29">
        <f t="shared" si="31"/>
        <v>0.70466748290018222</v>
      </c>
      <c r="AW29">
        <f t="shared" si="32"/>
        <v>0.29533251709981778</v>
      </c>
      <c r="AX29">
        <f t="shared" si="33"/>
        <v>0</v>
      </c>
      <c r="AY29" s="3">
        <f t="shared" si="13"/>
        <v>5.114002448700547E-2</v>
      </c>
      <c r="AZ29">
        <f t="shared" si="14"/>
        <v>1.8914392850473923E-2</v>
      </c>
      <c r="BA29" s="11">
        <f t="shared" si="34"/>
        <v>4.1682828061768512E-2</v>
      </c>
    </row>
    <row r="30" spans="1:53" x14ac:dyDescent="0.2">
      <c r="A30" t="s">
        <v>15</v>
      </c>
      <c r="B30" s="4">
        <f>B25 * B$28 / C15</f>
        <v>0.61728395061728403</v>
      </c>
      <c r="H30" s="10">
        <f t="shared" si="35"/>
        <v>26</v>
      </c>
      <c r="I30">
        <f t="shared" si="15"/>
        <v>250</v>
      </c>
      <c r="J30">
        <f t="shared" si="16"/>
        <v>0</v>
      </c>
      <c r="K30">
        <f t="shared" si="17"/>
        <v>-100</v>
      </c>
      <c r="L30" s="9">
        <f t="shared" si="0"/>
        <v>0.59757928483164635</v>
      </c>
      <c r="M30" s="11">
        <f t="shared" si="1"/>
        <v>0.59757928483164635</v>
      </c>
      <c r="N30" s="10">
        <f>SUMPRODUCT(I31:I$54, L31:L$54) / L30</f>
        <v>2040.55917659177</v>
      </c>
      <c r="O30" s="10">
        <f>SUMPRODUCT(J31:J$54, M31:M$54) / M30</f>
        <v>1.0751688896690685E-3</v>
      </c>
      <c r="P30" s="10">
        <f>SUMPRODUCT(K31:K$54, M31:M$54) / M30</f>
        <v>-1891.3925603057762</v>
      </c>
      <c r="Q30" s="10" cm="1">
        <f t="array" ref="Q30">IF($H30 &gt;= $B$12 - 1, 0, SUMPRODUCT(I31:I$54*L31:L$54, $H31:$H$54 - $H30) / L30 /N30) / (1 + $B$10)</f>
        <v>4.7726011601877012</v>
      </c>
      <c r="R30" s="10" cm="1">
        <f t="array" ref="R30">SUMPRODUCT(J31:J$54*L31:L$54, $H31:$H$54 - $H30) / L30 /O30 / (1 + $B$10)</f>
        <v>16.304799815996969</v>
      </c>
      <c r="S30" s="10" cm="1">
        <f t="array" ref="S30">SUMPRODUCT(K31:K$54*M31:M$54, $H31:$H$54 - $H30) / M30 /P30 / (1 + $B$10)</f>
        <v>11.328120878529543</v>
      </c>
      <c r="T30" s="10">
        <f t="shared" si="36"/>
        <v>-93.841777294143782</v>
      </c>
      <c r="U30" s="10">
        <f t="shared" si="37"/>
        <v>56.158222705856218</v>
      </c>
      <c r="V30" s="10">
        <f t="shared" si="18"/>
        <v>149.16769145488342</v>
      </c>
      <c r="W30">
        <f t="shared" si="42"/>
        <v>2214.4264270533436</v>
      </c>
      <c r="X30" s="10">
        <f t="shared" si="19"/>
        <v>2363.594118508227</v>
      </c>
      <c r="Y30" s="10">
        <f t="shared" si="2"/>
        <v>2040.55917659177</v>
      </c>
      <c r="Z30">
        <f t="shared" si="3"/>
        <v>0</v>
      </c>
      <c r="AA30" s="10">
        <f t="shared" si="4"/>
        <v>526.42027533154283</v>
      </c>
      <c r="AB30" s="10">
        <f t="shared" si="5"/>
        <v>1514.1389012602272</v>
      </c>
      <c r="AC30" s="10">
        <f t="shared" si="6"/>
        <v>9.4758991969956183E-4</v>
      </c>
      <c r="AD30" s="10">
        <f t="shared" si="7"/>
        <v>1.2757896996950667E-4</v>
      </c>
      <c r="AE30">
        <f t="shared" si="20"/>
        <v>-1158.158029832179</v>
      </c>
      <c r="AF30" s="10">
        <f t="shared" si="8"/>
        <v>-733.23453047359726</v>
      </c>
      <c r="AG30" s="10">
        <f t="shared" si="21"/>
        <v>-631.73680691071638</v>
      </c>
      <c r="AH30" s="10">
        <f t="shared" si="22"/>
        <v>780.90449836559992</v>
      </c>
      <c r="AI30">
        <f t="shared" si="9"/>
        <v>1459.0087151285354</v>
      </c>
      <c r="AJ30">
        <f t="shared" si="10"/>
        <v>364.75217878213385</v>
      </c>
      <c r="AK30" s="10">
        <f t="shared" si="11"/>
        <v>539.83322459755777</v>
      </c>
      <c r="AL30" s="4">
        <f t="shared" si="23"/>
        <v>0.61728395061728403</v>
      </c>
      <c r="AM30">
        <f t="shared" si="12"/>
        <v>1459.0087151285354</v>
      </c>
      <c r="AN30" s="10">
        <f t="shared" si="24"/>
        <v>996.48898569285029</v>
      </c>
      <c r="AO30" s="10">
        <f t="shared" si="24"/>
        <v>-241.07127376804215</v>
      </c>
      <c r="AP30" s="10">
        <f t="shared" si="25"/>
        <v>755.41771192480815</v>
      </c>
      <c r="AQ30" s="9">
        <f t="shared" si="26"/>
        <v>1</v>
      </c>
      <c r="AR30" s="9">
        <f t="shared" si="27"/>
        <v>0</v>
      </c>
      <c r="AS30">
        <f t="shared" si="39"/>
        <v>1459.0087151285354</v>
      </c>
      <c r="AT30">
        <f t="shared" si="40"/>
        <v>755.41771192480815</v>
      </c>
      <c r="AU30">
        <f t="shared" si="41"/>
        <v>0</v>
      </c>
      <c r="AV30">
        <f t="shared" si="31"/>
        <v>0.65886529229602131</v>
      </c>
      <c r="AW30">
        <f t="shared" si="32"/>
        <v>0.34113470770397863</v>
      </c>
      <c r="AX30">
        <f t="shared" si="33"/>
        <v>0</v>
      </c>
      <c r="AY30" s="3">
        <f t="shared" si="13"/>
        <v>4.9765958768880639E-2</v>
      </c>
      <c r="AZ30">
        <f t="shared" si="14"/>
        <v>1.7835434135040254E-2</v>
      </c>
      <c r="BA30" s="11">
        <f t="shared" si="34"/>
        <v>4.0848241701360512E-2</v>
      </c>
    </row>
    <row r="31" spans="1:53" x14ac:dyDescent="0.2">
      <c r="A31" t="s">
        <v>19</v>
      </c>
      <c r="B31" s="4">
        <f>B26 * B$28 / C16</f>
        <v>0.15432098765432101</v>
      </c>
      <c r="H31" s="10">
        <f t="shared" si="35"/>
        <v>27</v>
      </c>
      <c r="I31">
        <f t="shared" si="15"/>
        <v>250</v>
      </c>
      <c r="J31">
        <f t="shared" si="16"/>
        <v>0</v>
      </c>
      <c r="K31">
        <f t="shared" si="17"/>
        <v>-100</v>
      </c>
      <c r="L31" s="9">
        <f t="shared" si="0"/>
        <v>0.58586204395259456</v>
      </c>
      <c r="M31" s="11">
        <f t="shared" si="1"/>
        <v>0.58586204395259456</v>
      </c>
      <c r="N31" s="10">
        <f>SUMPRODUCT(I32:I$54, L32:L$54) / L31</f>
        <v>1831.3703601236052</v>
      </c>
      <c r="O31" s="10">
        <f>SUMPRODUCT(J32:J$54, M32:M$54) / M31</f>
        <v>1.0966722674624497E-3</v>
      </c>
      <c r="P31" s="10">
        <f>SUMPRODUCT(K32:K$54, M32:M$54) / M31</f>
        <v>-1829.2204115118916</v>
      </c>
      <c r="Q31" s="10" cm="1">
        <f t="array" ref="Q31">IF($H31 &gt;= $B$12 - 1, 0, SUMPRODUCT(I32:I$54*L32:L$54, $H32:$H$54 - $H31) / L31 /N31) / (1 + $B$10)</f>
        <v>4.3098826926420921</v>
      </c>
      <c r="R31" s="10" cm="1">
        <f t="array" ref="R31">SUMPRODUCT(J32:J$54*L32:L$54, $H32:$H$54 - $H31) / L31 /O31 / (1 + $B$10)</f>
        <v>15.32440765913422</v>
      </c>
      <c r="S31" s="10" cm="1">
        <f t="array" ref="S31">SUMPRODUCT(K32:K$54*M32:M$54, $H32:$H$54 - $H31) / M31 /P31 / (1 + $B$10)</f>
        <v>10.913419365426567</v>
      </c>
      <c r="T31" s="10">
        <f t="shared" si="36"/>
        <v>-93.777785164886595</v>
      </c>
      <c r="U31" s="10">
        <f t="shared" si="37"/>
        <v>56.222214835113405</v>
      </c>
      <c r="V31" s="10">
        <f t="shared" si="18"/>
        <v>2.1510452839811478</v>
      </c>
      <c r="W31">
        <f t="shared" si="42"/>
        <v>2361.1040678106119</v>
      </c>
      <c r="X31" s="10">
        <f t="shared" si="19"/>
        <v>2363.2551130945931</v>
      </c>
      <c r="Y31" s="10">
        <f t="shared" si="2"/>
        <v>1831.3703601236052</v>
      </c>
      <c r="Z31">
        <f t="shared" si="3"/>
        <v>0</v>
      </c>
      <c r="AA31" s="10">
        <f t="shared" si="4"/>
        <v>426.64818480618607</v>
      </c>
      <c r="AB31" s="10">
        <f t="shared" si="5"/>
        <v>1404.7221753174192</v>
      </c>
      <c r="AC31" s="10">
        <f t="shared" si="6"/>
        <v>9.0842448081414351E-4</v>
      </c>
      <c r="AD31" s="10">
        <f t="shared" si="7"/>
        <v>1.8824778664830618E-4</v>
      </c>
      <c r="AE31">
        <f t="shared" si="20"/>
        <v>-1079.0837547366179</v>
      </c>
      <c r="AF31" s="10">
        <f t="shared" si="8"/>
        <v>-750.13665677527365</v>
      </c>
      <c r="AG31" s="10">
        <f t="shared" si="21"/>
        <v>-652.434661505951</v>
      </c>
      <c r="AH31" s="10">
        <f t="shared" si="22"/>
        <v>654.58570678993226</v>
      </c>
      <c r="AI31">
        <f t="shared" si="9"/>
        <v>1458.7994525275267</v>
      </c>
      <c r="AJ31">
        <f t="shared" si="10"/>
        <v>364.69986313188167</v>
      </c>
      <c r="AK31" s="10">
        <f t="shared" si="11"/>
        <v>539.75579743518472</v>
      </c>
      <c r="AL31" s="4">
        <f t="shared" si="23"/>
        <v>0.61728395061728403</v>
      </c>
      <c r="AM31">
        <f t="shared" si="12"/>
        <v>1458.7994525275267</v>
      </c>
      <c r="AN31" s="10">
        <f t="shared" si="24"/>
        <v>1017.1345246378327</v>
      </c>
      <c r="AO31" s="10">
        <f t="shared" si="24"/>
        <v>-114.82990935474754</v>
      </c>
      <c r="AP31" s="10">
        <f t="shared" si="25"/>
        <v>902.30461528308513</v>
      </c>
      <c r="AQ31" s="9">
        <f t="shared" si="26"/>
        <v>1</v>
      </c>
      <c r="AR31" s="9">
        <f t="shared" si="27"/>
        <v>0</v>
      </c>
      <c r="AS31">
        <f t="shared" si="39"/>
        <v>1458.7994525275267</v>
      </c>
      <c r="AT31">
        <f t="shared" si="40"/>
        <v>902.30461528308513</v>
      </c>
      <c r="AU31">
        <f t="shared" si="41"/>
        <v>0</v>
      </c>
      <c r="AV31">
        <f t="shared" si="31"/>
        <v>0.61784631707497417</v>
      </c>
      <c r="AW31">
        <f t="shared" si="32"/>
        <v>0.38215368292502577</v>
      </c>
      <c r="AX31">
        <f t="shared" si="33"/>
        <v>0</v>
      </c>
      <c r="AY31" s="3">
        <f t="shared" si="13"/>
        <v>4.8535389512249227E-2</v>
      </c>
      <c r="AZ31">
        <f t="shared" si="14"/>
        <v>1.7099926488239166E-2</v>
      </c>
      <c r="BA31" s="11">
        <f t="shared" si="34"/>
        <v>3.9985426268129648E-2</v>
      </c>
    </row>
    <row r="32" spans="1:53" x14ac:dyDescent="0.2">
      <c r="A32" t="s">
        <v>43</v>
      </c>
      <c r="B32" s="2">
        <f>SUMPRODUCT(B30:B31, B15:B16) + B10</f>
        <v>4.623456790123457E-2</v>
      </c>
      <c r="H32" s="10">
        <f t="shared" si="35"/>
        <v>28</v>
      </c>
      <c r="I32">
        <f t="shared" si="15"/>
        <v>250</v>
      </c>
      <c r="J32">
        <f t="shared" si="16"/>
        <v>0</v>
      </c>
      <c r="K32">
        <f t="shared" si="17"/>
        <v>-100</v>
      </c>
      <c r="L32" s="9">
        <f t="shared" si="0"/>
        <v>0.57437455289470041</v>
      </c>
      <c r="M32" s="11">
        <f t="shared" si="1"/>
        <v>0.57437455289470041</v>
      </c>
      <c r="N32" s="10">
        <f>SUMPRODUCT(I33:I$54, L33:L$54) / L32</f>
        <v>1617.997767326078</v>
      </c>
      <c r="O32" s="10">
        <f>SUMPRODUCT(J33:J$54, M33:M$54) / M32</f>
        <v>1.1186057128116989E-3</v>
      </c>
      <c r="P32" s="10">
        <f>SUMPRODUCT(K33:K$54, M33:M$54) / M32</f>
        <v>-1765.8048197421299</v>
      </c>
      <c r="Q32" s="10" cm="1">
        <f t="array" ref="Q32">IF($H32 &gt;= $B$12 - 1, 0, SUMPRODUCT(I33:I$54*L33:L$54, $H33:$H$54 - $H32) / L32 /N32) / (1 + $B$10)</f>
        <v>3.8439366312893708</v>
      </c>
      <c r="R32" s="10" cm="1">
        <f t="array" ref="R32">SUMPRODUCT(J33:J$54*L33:L$54, $H33:$H$54 - $H32) / L32 /O32 / (1 + $B$10)</f>
        <v>14.344015502271475</v>
      </c>
      <c r="S32" s="10" cm="1">
        <f t="array" ref="S32">SUMPRODUCT(K33:K$54*M33:M$54, $H33:$H$54 - $H32) / M32 /P32 / (1 + $B$10)</f>
        <v>10.495548450861394</v>
      </c>
      <c r="T32" s="10">
        <f t="shared" si="36"/>
        <v>-93.76433481120678</v>
      </c>
      <c r="U32" s="10">
        <f t="shared" si="37"/>
        <v>56.23566518879322</v>
      </c>
      <c r="V32" s="10">
        <f t="shared" si="18"/>
        <v>-147.80593381033896</v>
      </c>
      <c r="W32">
        <f t="shared" si="42"/>
        <v>2511.7494856142271</v>
      </c>
      <c r="X32" s="10">
        <f t="shared" si="19"/>
        <v>2363.9435518038881</v>
      </c>
      <c r="Y32" s="10">
        <f t="shared" si="2"/>
        <v>1617.997767326078</v>
      </c>
      <c r="Z32">
        <f t="shared" si="3"/>
        <v>0</v>
      </c>
      <c r="AA32" s="10">
        <f t="shared" si="4"/>
        <v>336.18815606319612</v>
      </c>
      <c r="AB32" s="10">
        <f t="shared" si="5"/>
        <v>1281.8096112628818</v>
      </c>
      <c r="AC32" s="10">
        <f t="shared" si="6"/>
        <v>8.6731338840542933E-4</v>
      </c>
      <c r="AD32" s="10">
        <f t="shared" si="7"/>
        <v>2.5129232440626961E-4</v>
      </c>
      <c r="AE32">
        <f t="shared" si="20"/>
        <v>-1001.7886508307078</v>
      </c>
      <c r="AF32" s="10">
        <f t="shared" si="8"/>
        <v>-764.01616891142214</v>
      </c>
      <c r="AG32" s="10">
        <f t="shared" si="21"/>
        <v>-665.59962745412327</v>
      </c>
      <c r="AH32" s="10">
        <f t="shared" si="22"/>
        <v>517.79369364378408</v>
      </c>
      <c r="AI32">
        <f t="shared" si="9"/>
        <v>1459.2244146937583</v>
      </c>
      <c r="AJ32">
        <f t="shared" si="10"/>
        <v>364.80610367343957</v>
      </c>
      <c r="AK32" s="10">
        <f t="shared" si="11"/>
        <v>539.91303343669028</v>
      </c>
      <c r="AL32" s="4">
        <f t="shared" si="23"/>
        <v>0.61728395061728403</v>
      </c>
      <c r="AM32">
        <f t="shared" si="12"/>
        <v>1459.2244146937583</v>
      </c>
      <c r="AN32" s="10">
        <f t="shared" si="24"/>
        <v>1030.4057311275628</v>
      </c>
      <c r="AO32" s="10">
        <f t="shared" si="24"/>
        <v>22.119339792906203</v>
      </c>
      <c r="AP32" s="10">
        <f t="shared" si="25"/>
        <v>1052.525070920469</v>
      </c>
      <c r="AQ32" s="9">
        <f t="shared" si="26"/>
        <v>0.97898450079335209</v>
      </c>
      <c r="AR32" s="9">
        <f t="shared" si="27"/>
        <v>2.1015499206647959E-2</v>
      </c>
      <c r="AS32">
        <f t="shared" si="39"/>
        <v>1459.2244146937583</v>
      </c>
      <c r="AT32">
        <f t="shared" si="40"/>
        <v>1030.4057311275628</v>
      </c>
      <c r="AU32">
        <f t="shared" si="41"/>
        <v>22.119339792905976</v>
      </c>
      <c r="AV32">
        <f t="shared" si="31"/>
        <v>0.58095937634358363</v>
      </c>
      <c r="AW32">
        <f t="shared" si="32"/>
        <v>0.41023427576241178</v>
      </c>
      <c r="AX32">
        <f t="shared" si="33"/>
        <v>8.8063478940045951E-3</v>
      </c>
      <c r="AY32" s="3">
        <f t="shared" si="13"/>
        <v>4.7340717811367464E-2</v>
      </c>
      <c r="AZ32">
        <f t="shared" si="14"/>
        <v>1.6388113038287494E-2</v>
      </c>
      <c r="BA32" s="11">
        <f t="shared" si="34"/>
        <v>3.9146661292223717E-2</v>
      </c>
    </row>
    <row r="33" spans="1:53" x14ac:dyDescent="0.2">
      <c r="A33" t="s">
        <v>44</v>
      </c>
      <c r="B33" s="4">
        <f>SQRT(B30^2 * C15^2 + B31^2 * C16^2 + 2 * B30 * B31 * D15 * C15 * C16)</f>
        <v>0.11453071182271281</v>
      </c>
      <c r="H33" s="10">
        <f t="shared" si="35"/>
        <v>29</v>
      </c>
      <c r="I33">
        <f t="shared" si="15"/>
        <v>250</v>
      </c>
      <c r="J33">
        <f t="shared" si="16"/>
        <v>0</v>
      </c>
      <c r="K33">
        <f t="shared" si="17"/>
        <v>-100</v>
      </c>
      <c r="L33" s="9">
        <f t="shared" si="0"/>
        <v>0.56311230675951029</v>
      </c>
      <c r="M33" s="11">
        <f t="shared" si="1"/>
        <v>0.56311230675951029</v>
      </c>
      <c r="N33" s="10">
        <f>SUMPRODUCT(I34:I$54, L34:L$54) / L33</f>
        <v>1400.3577226725993</v>
      </c>
      <c r="O33" s="10">
        <f>SUMPRODUCT(J34:J$54, M34:M$54) / M33</f>
        <v>1.1409778270679326E-3</v>
      </c>
      <c r="P33" s="10">
        <f>SUMPRODUCT(K34:K$54, M34:M$54) / M33</f>
        <v>-1701.1209161369723</v>
      </c>
      <c r="Q33" s="10" cm="1">
        <f t="array" ref="Q33">IF($H33 &gt;= $B$12 - 1, 0, SUMPRODUCT(I34:I$54*L34:L$54, $H34:$H$54 - $H33) / L33 /N33) / (1 + $B$10)</f>
        <v>3.3747610778816193</v>
      </c>
      <c r="R33" s="10" cm="1">
        <f t="array" ref="R33">SUMPRODUCT(J34:J$54*L34:L$54, $H34:$H$54 - $H33) / L33 /O33 / (1 + $B$10)</f>
        <v>13.363623345408733</v>
      </c>
      <c r="S33" s="10" cm="1">
        <f t="array" ref="S33">SUMPRODUCT(K34:K$54*M34:M$54, $H34:$H$54 - $H33) / M33 /P33 / (1 + $B$10)</f>
        <v>10.074502558202276</v>
      </c>
      <c r="T33" s="10">
        <f t="shared" si="36"/>
        <v>-93.79164925444131</v>
      </c>
      <c r="U33" s="10">
        <f t="shared" si="37"/>
        <v>56.20835074555869</v>
      </c>
      <c r="V33" s="10">
        <f t="shared" si="18"/>
        <v>-300.76205248654583</v>
      </c>
      <c r="W33">
        <f t="shared" si="42"/>
        <v>2666.2844427240429</v>
      </c>
      <c r="X33" s="10">
        <f>V33 + W33</f>
        <v>2365.5223902374973</v>
      </c>
      <c r="Y33" s="10">
        <f t="shared" si="2"/>
        <v>1400.3577226725993</v>
      </c>
      <c r="Z33">
        <f t="shared" si="3"/>
        <v>0</v>
      </c>
      <c r="AA33" s="10">
        <f t="shared" si="4"/>
        <v>255.45258041007733</v>
      </c>
      <c r="AB33" s="10">
        <f t="shared" si="5"/>
        <v>1144.9051422625218</v>
      </c>
      <c r="AC33" s="10">
        <f t="shared" si="6"/>
        <v>8.2419448250804067E-4</v>
      </c>
      <c r="AD33" s="10">
        <f t="shared" si="7"/>
        <v>3.1678334455989196E-4</v>
      </c>
      <c r="AE33">
        <f t="shared" si="20"/>
        <v>-926.37551467207174</v>
      </c>
      <c r="AF33" s="10">
        <f t="shared" si="8"/>
        <v>-774.74540146490051</v>
      </c>
      <c r="AG33" s="10">
        <f t="shared" si="21"/>
        <v>-670.92211006751188</v>
      </c>
      <c r="AH33" s="10">
        <f t="shared" si="22"/>
        <v>370.16005758096594</v>
      </c>
      <c r="AI33">
        <f t="shared" si="9"/>
        <v>1460.199006319443</v>
      </c>
      <c r="AJ33">
        <f t="shared" si="10"/>
        <v>365.04975157986075</v>
      </c>
      <c r="AK33" s="10">
        <f t="shared" si="11"/>
        <v>540.27363233819358</v>
      </c>
      <c r="AL33" s="4">
        <f t="shared" si="23"/>
        <v>0.61728395061728403</v>
      </c>
      <c r="AM33">
        <f t="shared" si="12"/>
        <v>1460.199006319443</v>
      </c>
      <c r="AN33" s="10">
        <f t="shared" si="24"/>
        <v>1035.9718616473726</v>
      </c>
      <c r="AO33" s="10">
        <f t="shared" si="24"/>
        <v>170.11357475722764</v>
      </c>
      <c r="AP33" s="10">
        <f t="shared" si="25"/>
        <v>1206.0854364046004</v>
      </c>
      <c r="AQ33" s="9">
        <f t="shared" si="26"/>
        <v>0.85895395995797397</v>
      </c>
      <c r="AR33" s="9">
        <f t="shared" si="27"/>
        <v>0.14104604004202598</v>
      </c>
      <c r="AS33">
        <f t="shared" si="39"/>
        <v>1460.199006319443</v>
      </c>
      <c r="AT33">
        <f t="shared" si="40"/>
        <v>1035.9718616473726</v>
      </c>
      <c r="AU33">
        <f t="shared" si="41"/>
        <v>170.1135747572273</v>
      </c>
      <c r="AV33">
        <f t="shared" si="31"/>
        <v>0.54765312467097949</v>
      </c>
      <c r="AW33">
        <f t="shared" si="32"/>
        <v>0.38854513983847844</v>
      </c>
      <c r="AX33">
        <f t="shared" si="33"/>
        <v>6.3801735490542286E-2</v>
      </c>
      <c r="AY33" s="3">
        <f t="shared" si="13"/>
        <v>4.5791576385223964E-2</v>
      </c>
      <c r="AZ33">
        <f t="shared" si="14"/>
        <v>1.460887716918928E-2</v>
      </c>
      <c r="BA33" s="11">
        <f t="shared" si="34"/>
        <v>3.8487137800629324E-2</v>
      </c>
    </row>
    <row r="34" spans="1:53" x14ac:dyDescent="0.2">
      <c r="A34" t="s">
        <v>45</v>
      </c>
      <c r="B34" s="14">
        <f>B32 - 1/2 * B33 ^ 2</f>
        <v>3.9675925925925927E-2</v>
      </c>
      <c r="H34" s="10">
        <f t="shared" si="35"/>
        <v>30</v>
      </c>
      <c r="I34">
        <f t="shared" si="15"/>
        <v>250</v>
      </c>
      <c r="J34">
        <f t="shared" si="16"/>
        <v>0</v>
      </c>
      <c r="K34">
        <f t="shared" si="17"/>
        <v>-100</v>
      </c>
      <c r="L34" s="9">
        <f t="shared" si="0"/>
        <v>0.55207088897991197</v>
      </c>
      <c r="M34" s="11">
        <f t="shared" si="1"/>
        <v>0.55207088897991197</v>
      </c>
      <c r="N34" s="10">
        <f>SUMPRODUCT(I35:I$54, L35:L$54) / L34</f>
        <v>1178.3648771260514</v>
      </c>
      <c r="O34" s="10">
        <f>SUMPRODUCT(J35:J$54, M35:M$54) / M34</f>
        <v>1.1637973836092915E-3</v>
      </c>
      <c r="P34" s="10">
        <f>SUMPRODUCT(K35:K$54, M35:M$54) / M34</f>
        <v>-1635.1433344597119</v>
      </c>
      <c r="Q34" s="10" cm="1">
        <f t="array" ref="Q34">IF($H34 &gt;= $B$12 - 1, 0, SUMPRODUCT(I35:I$54*L35:L$54, $H35:$H$54 - $H34) / L34 /N34) / (1 + $B$10)</f>
        <v>2.9023543861955372</v>
      </c>
      <c r="R34" s="10" cm="1">
        <f t="array" ref="R34">SUMPRODUCT(J35:J$54*L35:L$54, $H35:$H$54 - $H34) / L34 /O34 / (1 + $B$10)</f>
        <v>12.38323118854599</v>
      </c>
      <c r="S34" s="10" cm="1">
        <f t="array" ref="S34">SUMPRODUCT(K35:K$54*M35:M$54, $H35:$H$54 - $H34) / M34 /P34 / (1 + $B$10)</f>
        <v>9.6502763477545255</v>
      </c>
      <c r="T34" s="10">
        <f t="shared" si="36"/>
        <v>-93.854291131182194</v>
      </c>
      <c r="U34" s="10">
        <f t="shared" si="37"/>
        <v>56.145708868817806</v>
      </c>
      <c r="V34" s="10">
        <f t="shared" si="18"/>
        <v>-456.77729353627683</v>
      </c>
      <c r="W34">
        <f t="shared" si="42"/>
        <v>2825.0478083556554</v>
      </c>
      <c r="X34" s="10">
        <f t="shared" ref="X34:X35" si="43">V34 + W34</f>
        <v>2368.2705148193786</v>
      </c>
      <c r="Y34" s="10">
        <f t="shared" si="2"/>
        <v>1178.3648771260514</v>
      </c>
      <c r="Z34">
        <f t="shared" si="3"/>
        <v>0</v>
      </c>
      <c r="AA34" s="10">
        <f t="shared" si="4"/>
        <v>184.86661998192218</v>
      </c>
      <c r="AB34" s="10">
        <f t="shared" si="5"/>
        <v>993.49825714412918</v>
      </c>
      <c r="AC34" s="10">
        <f t="shared" si="6"/>
        <v>7.7900389501939465E-4</v>
      </c>
      <c r="AD34" s="10">
        <f t="shared" si="7"/>
        <v>3.8479348858989687E-4</v>
      </c>
      <c r="AE34">
        <f t="shared" si="20"/>
        <v>-852.95054301216362</v>
      </c>
      <c r="AF34" s="10">
        <f t="shared" si="8"/>
        <v>-782.1927914475483</v>
      </c>
      <c r="AG34" s="10">
        <f t="shared" si="21"/>
        <v>-668.08314402634642</v>
      </c>
      <c r="AH34" s="10">
        <f t="shared" si="22"/>
        <v>211.30585049006947</v>
      </c>
      <c r="AI34">
        <f t="shared" si="9"/>
        <v>1461.8953795181351</v>
      </c>
      <c r="AJ34">
        <f t="shared" si="10"/>
        <v>365.47384487953377</v>
      </c>
      <c r="AK34" s="10">
        <f t="shared" si="11"/>
        <v>540.90129042170975</v>
      </c>
      <c r="AL34" s="4">
        <f t="shared" si="23"/>
        <v>0.61728395061728403</v>
      </c>
      <c r="AM34">
        <f t="shared" si="12"/>
        <v>1461.8953795181351</v>
      </c>
      <c r="AN34" s="10">
        <f t="shared" si="24"/>
        <v>1033.5569889058802</v>
      </c>
      <c r="AO34" s="10">
        <f t="shared" si="24"/>
        <v>329.59543993164027</v>
      </c>
      <c r="AP34" s="10">
        <f t="shared" si="25"/>
        <v>1363.1524288375203</v>
      </c>
      <c r="AQ34" s="9">
        <f t="shared" si="26"/>
        <v>0.75821086992251108</v>
      </c>
      <c r="AR34" s="9">
        <f t="shared" si="27"/>
        <v>0.24178913007748901</v>
      </c>
      <c r="AS34">
        <f t="shared" si="39"/>
        <v>1461.8953795181351</v>
      </c>
      <c r="AT34">
        <f t="shared" si="40"/>
        <v>1033.5569889058802</v>
      </c>
      <c r="AU34">
        <f t="shared" si="41"/>
        <v>329.59543993164016</v>
      </c>
      <c r="AV34">
        <f t="shared" si="31"/>
        <v>0.51747633268162085</v>
      </c>
      <c r="AW34">
        <f t="shared" si="32"/>
        <v>0.36585468955566858</v>
      </c>
      <c r="AX34">
        <f t="shared" si="33"/>
        <v>0.11666897776271055</v>
      </c>
      <c r="AY34" s="3">
        <f t="shared" si="13"/>
        <v>4.435760020282152E-2</v>
      </c>
      <c r="AZ34">
        <f t="shared" si="14"/>
        <v>1.3012857643678009E-2</v>
      </c>
      <c r="BA34" s="11">
        <f t="shared" si="34"/>
        <v>3.7851171380982512E-2</v>
      </c>
    </row>
    <row r="35" spans="1:53" x14ac:dyDescent="0.2">
      <c r="H35" s="10">
        <f t="shared" si="35"/>
        <v>31</v>
      </c>
      <c r="I35">
        <f t="shared" si="15"/>
        <v>250</v>
      </c>
      <c r="J35">
        <f t="shared" si="16"/>
        <v>0</v>
      </c>
      <c r="K35">
        <f t="shared" si="17"/>
        <v>-100</v>
      </c>
      <c r="L35" s="9">
        <f t="shared" si="0"/>
        <v>0.54124596958814919</v>
      </c>
      <c r="M35" s="11">
        <f t="shared" si="1"/>
        <v>0.54124596958814919</v>
      </c>
      <c r="N35" s="10">
        <f>SUMPRODUCT(I36:I$54, L36:L$54) / L35</f>
        <v>951.93217466857209</v>
      </c>
      <c r="O35" s="10">
        <f>SUMPRODUCT(J36:J$54, M36:M$54) / M35</f>
        <v>1.1870733312814769E-3</v>
      </c>
      <c r="P35" s="10">
        <f>SUMPRODUCT(K36:K$54, M36:M$54) / M35</f>
        <v>-1567.8462011489057</v>
      </c>
      <c r="Q35" s="10" cm="1">
        <f t="array" ref="Q35">IF($H35 &gt;= $B$12 - 1, 0, SUMPRODUCT(I36:I$54*L36:L$54, $H36:$H$54 - $H35) / L35 /N35) / (1 + $B$10)</f>
        <v>2.4267151624926435</v>
      </c>
      <c r="R35" s="10" cm="1">
        <f t="array" ref="R35">SUMPRODUCT(J36:J$54*L36:L$54, $H36:$H$54 - $H35) / L35 /O35 / (1 + $B$10)</f>
        <v>11.402839031683245</v>
      </c>
      <c r="S35" s="10" cm="1">
        <f t="array" ref="S35">SUMPRODUCT(K36:K$54*M36:M$54, $H36:$H$54 - $H35) / M35 /P35 / (1 + $B$10)</f>
        <v>9.2228647182252992</v>
      </c>
      <c r="T35" s="10">
        <f t="shared" si="36"/>
        <v>-93.963325518528123</v>
      </c>
      <c r="U35" s="10">
        <f t="shared" si="37"/>
        <v>56.036674481471877</v>
      </c>
      <c r="V35" s="10">
        <f t="shared" si="18"/>
        <v>-615.91283940700237</v>
      </c>
      <c r="W35">
        <f t="shared" si="42"/>
        <v>2988.0158515906664</v>
      </c>
      <c r="X35" s="10">
        <f t="shared" si="43"/>
        <v>2372.1030121836639</v>
      </c>
      <c r="Y35" s="10">
        <f t="shared" si="2"/>
        <v>951.93217466857209</v>
      </c>
      <c r="Z35">
        <f t="shared" si="3"/>
        <v>0</v>
      </c>
      <c r="AA35" s="10">
        <f t="shared" si="4"/>
        <v>124.86855361799026</v>
      </c>
      <c r="AB35" s="10">
        <f t="shared" si="5"/>
        <v>827.06362105058179</v>
      </c>
      <c r="AC35" s="10">
        <f t="shared" si="6"/>
        <v>7.3167600623819898E-4</v>
      </c>
      <c r="AD35" s="10">
        <f t="shared" si="7"/>
        <v>4.5539732504327796E-4</v>
      </c>
      <c r="AE35">
        <f t="shared" si="20"/>
        <v>-781.62342768539497</v>
      </c>
      <c r="AF35" s="10">
        <f t="shared" si="8"/>
        <v>-786.22277346351075</v>
      </c>
      <c r="AG35" s="10">
        <f t="shared" si="21"/>
        <v>-656.75414239139843</v>
      </c>
      <c r="AH35" s="10">
        <f t="shared" si="22"/>
        <v>40.841302984396066</v>
      </c>
      <c r="AI35">
        <f t="shared" si="9"/>
        <v>1464.2611186318913</v>
      </c>
      <c r="AJ35">
        <f t="shared" si="10"/>
        <v>366.06527965797284</v>
      </c>
      <c r="AK35" s="10">
        <f t="shared" si="11"/>
        <v>541.77661389379966</v>
      </c>
      <c r="AL35" s="4">
        <f t="shared" si="23"/>
        <v>0.61728395061728403</v>
      </c>
      <c r="AM35">
        <f t="shared" si="12"/>
        <v>1464.2611186318913</v>
      </c>
      <c r="AN35" s="10">
        <f t="shared" si="24"/>
        <v>1022.8194220493713</v>
      </c>
      <c r="AO35" s="10">
        <f t="shared" si="24"/>
        <v>500.9353109094036</v>
      </c>
      <c r="AP35" s="10">
        <f t="shared" si="25"/>
        <v>1523.7547329587749</v>
      </c>
      <c r="AQ35" s="9">
        <f t="shared" si="26"/>
        <v>0.67124938149546909</v>
      </c>
      <c r="AR35" s="9">
        <f t="shared" si="27"/>
        <v>0.32875061850453091</v>
      </c>
      <c r="AS35">
        <f t="shared" si="39"/>
        <v>1464.2611186318913</v>
      </c>
      <c r="AT35">
        <f t="shared" si="40"/>
        <v>1022.8194220493713</v>
      </c>
      <c r="AU35">
        <f t="shared" si="41"/>
        <v>500.93531090940382</v>
      </c>
      <c r="AV35">
        <f t="shared" si="31"/>
        <v>0.49004462872992927</v>
      </c>
      <c r="AW35">
        <f t="shared" si="32"/>
        <v>0.34230722755532733</v>
      </c>
      <c r="AX35">
        <f t="shared" si="33"/>
        <v>0.16764814371474357</v>
      </c>
      <c r="AY35" s="3">
        <f t="shared" si="13"/>
        <v>4.3024857424750443E-2</v>
      </c>
      <c r="AZ35">
        <f t="shared" si="14"/>
        <v>1.1577102428350871E-2</v>
      </c>
      <c r="BA35" s="11">
        <f t="shared" si="34"/>
        <v>3.7236306210575006E-2</v>
      </c>
    </row>
    <row r="36" spans="1:53" x14ac:dyDescent="0.2">
      <c r="H36" s="10">
        <f t="shared" si="35"/>
        <v>32</v>
      </c>
      <c r="I36">
        <f t="shared" si="15"/>
        <v>250</v>
      </c>
      <c r="J36">
        <f t="shared" si="16"/>
        <v>0</v>
      </c>
      <c r="K36">
        <f t="shared" si="17"/>
        <v>-100</v>
      </c>
      <c r="L36" s="9">
        <f t="shared" si="0"/>
        <v>0.53063330351779314</v>
      </c>
      <c r="M36" s="11">
        <f t="shared" si="1"/>
        <v>0.53063330351779314</v>
      </c>
      <c r="N36" s="10">
        <f>SUMPRODUCT(I37:I$54, L37:L$54) / L36</f>
        <v>720.97081816194384</v>
      </c>
      <c r="O36" s="10">
        <f>SUMPRODUCT(J37:J$54, M37:M$54) / M36</f>
        <v>1.2108147979071069E-3</v>
      </c>
      <c r="P36" s="10">
        <f>SUMPRODUCT(K37:K$54, M37:M$54) / M36</f>
        <v>-1499.2031251718843</v>
      </c>
      <c r="Q36" s="10" cm="1">
        <f t="array" ref="Q36">IF($H36 &gt;= $B$12 - 1, 0, SUMPRODUCT(I37:I$54*L37:L$54, $H37:$H$54 - $H36) / L36 /N36) / (1 + $B$10)</f>
        <v>1.9478422659091084</v>
      </c>
      <c r="R36" s="10" cm="1">
        <f t="array" ref="R36">SUMPRODUCT(J37:J$54*L37:L$54, $H37:$H$54 - $H36) / L36 /O36 / (1 + $B$10)</f>
        <v>10.422446874820498</v>
      </c>
      <c r="S36" s="10" cm="1">
        <f t="array" ref="S36">SUMPRODUCT(K37:K$54*M37:M$54, $H37:$H$54 - $H36) / M36 /P36 / (1 + $B$10)</f>
        <v>8.7922628081256509</v>
      </c>
      <c r="T36" s="10">
        <f t="shared" si="36"/>
        <v>-94.115383400064815</v>
      </c>
      <c r="U36" s="10">
        <f t="shared" si="37"/>
        <v>55.884616599935185</v>
      </c>
      <c r="V36" s="10">
        <f t="shared" si="18"/>
        <v>-778.23109619514253</v>
      </c>
      <c r="W36">
        <f t="shared" si="42"/>
        <v>3155.1631414024837</v>
      </c>
      <c r="X36" s="10">
        <f>V36 + W36</f>
        <v>2376.9320452073412</v>
      </c>
      <c r="Y36" s="10">
        <f t="shared" si="2"/>
        <v>720.97081816194384</v>
      </c>
      <c r="Z36">
        <f t="shared" si="3"/>
        <v>0</v>
      </c>
      <c r="AA36" s="10">
        <f t="shared" si="4"/>
        <v>75.910131465021863</v>
      </c>
      <c r="AB36" s="10">
        <f t="shared" si="5"/>
        <v>645.06068669692195</v>
      </c>
      <c r="AC36" s="10">
        <f t="shared" si="6"/>
        <v>6.8214340034774808E-4</v>
      </c>
      <c r="AD36" s="10">
        <f t="shared" si="7"/>
        <v>5.2867139755935879E-4</v>
      </c>
      <c r="AE36">
        <f t="shared" si="20"/>
        <v>-712.50745293375689</v>
      </c>
      <c r="AF36" s="10">
        <f t="shared" si="8"/>
        <v>-786.69567223812737</v>
      </c>
      <c r="AG36" s="10">
        <f t="shared" si="21"/>
        <v>-636.59663932533465</v>
      </c>
      <c r="AH36" s="10">
        <f t="shared" si="22"/>
        <v>-141.63445686980788</v>
      </c>
      <c r="AI36">
        <f t="shared" si="9"/>
        <v>1467.2420032144082</v>
      </c>
      <c r="AJ36">
        <f t="shared" si="10"/>
        <v>366.81050080360205</v>
      </c>
      <c r="AK36" s="10">
        <f t="shared" si="11"/>
        <v>542.87954118933089</v>
      </c>
      <c r="AL36" s="4">
        <f t="shared" si="23"/>
        <v>0.61728395061728403</v>
      </c>
      <c r="AM36">
        <f t="shared" si="12"/>
        <v>1467.2420032144082</v>
      </c>
      <c r="AN36" s="10">
        <f t="shared" si="24"/>
        <v>1003.4071401289367</v>
      </c>
      <c r="AO36" s="10">
        <f t="shared" si="24"/>
        <v>684.51399805913877</v>
      </c>
      <c r="AP36" s="10">
        <f t="shared" si="25"/>
        <v>1687.9211381880755</v>
      </c>
      <c r="AQ36" s="9">
        <f t="shared" si="26"/>
        <v>0.59446328233442192</v>
      </c>
      <c r="AR36" s="9">
        <f t="shared" si="27"/>
        <v>0.40553671766557808</v>
      </c>
      <c r="AS36">
        <f t="shared" si="39"/>
        <v>1467.2420032144082</v>
      </c>
      <c r="AT36">
        <f t="shared" si="40"/>
        <v>1003.4071401289367</v>
      </c>
      <c r="AU36">
        <f t="shared" si="41"/>
        <v>684.51399805913877</v>
      </c>
      <c r="AV36">
        <f t="shared" si="31"/>
        <v>0.46502888676691778</v>
      </c>
      <c r="AW36">
        <f t="shared" si="32"/>
        <v>0.31802068392663774</v>
      </c>
      <c r="AX36">
        <f t="shared" si="33"/>
        <v>0.21695042930644445</v>
      </c>
      <c r="AY36" s="3">
        <f t="shared" si="13"/>
        <v>4.1781362309943088E-2</v>
      </c>
      <c r="AZ36">
        <f t="shared" si="14"/>
        <v>1.0283404278224186E-2</v>
      </c>
      <c r="BA36" s="11">
        <f t="shared" si="34"/>
        <v>3.6639660170830993E-2</v>
      </c>
    </row>
    <row r="37" spans="1:53" x14ac:dyDescent="0.2">
      <c r="H37" s="10">
        <f t="shared" si="35"/>
        <v>33</v>
      </c>
      <c r="I37">
        <f t="shared" si="15"/>
        <v>250</v>
      </c>
      <c r="J37">
        <f t="shared" si="16"/>
        <v>0</v>
      </c>
      <c r="K37">
        <f t="shared" si="17"/>
        <v>-100</v>
      </c>
      <c r="L37" s="9">
        <f t="shared" si="0"/>
        <v>0.52022872893901284</v>
      </c>
      <c r="M37" s="11">
        <f t="shared" si="1"/>
        <v>0.52022872893901284</v>
      </c>
      <c r="N37" s="10">
        <f>SUMPRODUCT(I38:I$54, L38:L$54) / L37</f>
        <v>485.39023452518268</v>
      </c>
      <c r="O37" s="10">
        <f>SUMPRODUCT(J38:J$54, M38:M$54) / M37</f>
        <v>1.2350310938652491E-3</v>
      </c>
      <c r="P37" s="10">
        <f>SUMPRODUCT(K38:K$54, M38:M$54) / M37</f>
        <v>-1429.1871876753221</v>
      </c>
      <c r="Q37" s="10" cm="1">
        <f t="array" ref="Q37">IF($H37 &gt;= $B$12 - 1, 0, SUMPRODUCT(I38:I$54*L38:L$54, $H38:$H$54 - $H37) / L37 /N37) / (1 + $B$10)</f>
        <v>1.4657348087749953</v>
      </c>
      <c r="R37" s="10" cm="1">
        <f t="array" ref="R37">SUMPRODUCT(J38:J$54*L38:L$54, $H38:$H$54 - $H37) / L37 /O37 / (1 + $B$10)</f>
        <v>9.4420547179577561</v>
      </c>
      <c r="S37" s="10" cm="1">
        <f t="array" ref="S37">SUMPRODUCT(K38:K$54*M38:M$54, $H38:$H$54 - $H37) / M37 /P37 / (1 + $B$10)</f>
        <v>8.3584659971090645</v>
      </c>
      <c r="T37" s="10">
        <f t="shared" si="36"/>
        <v>-94.306979756606083</v>
      </c>
      <c r="U37" s="10">
        <f t="shared" si="37"/>
        <v>55.693020243393917</v>
      </c>
      <c r="V37" s="10">
        <f t="shared" si="18"/>
        <v>-943.79571811904555</v>
      </c>
      <c r="W37">
        <f t="shared" si="42"/>
        <v>3326.4602669303963</v>
      </c>
      <c r="X37" s="10">
        <f t="shared" ref="X37:X54" si="44">V37 + W37</f>
        <v>2382.6645488113509</v>
      </c>
      <c r="Y37" s="10">
        <f t="shared" si="2"/>
        <v>485.39023452518268</v>
      </c>
      <c r="Z37">
        <f t="shared" si="3"/>
        <v>0</v>
      </c>
      <c r="AA37" s="10">
        <f t="shared" si="4"/>
        <v>38.45693851800101</v>
      </c>
      <c r="AB37" s="10">
        <f t="shared" si="5"/>
        <v>446.93329600718164</v>
      </c>
      <c r="AC37" s="10">
        <f t="shared" si="6"/>
        <v>6.3033681981918401E-4</v>
      </c>
      <c r="AD37" s="10">
        <f t="shared" si="7"/>
        <v>6.0469427404606505E-4</v>
      </c>
      <c r="AE37">
        <f t="shared" si="20"/>
        <v>-645.7195952263844</v>
      </c>
      <c r="AF37" s="10">
        <f t="shared" si="8"/>
        <v>-783.46759244893769</v>
      </c>
      <c r="AG37" s="10">
        <f t="shared" si="21"/>
        <v>-607.26202637156359</v>
      </c>
      <c r="AH37" s="10">
        <f t="shared" si="22"/>
        <v>-336.53369174748195</v>
      </c>
      <c r="AI37">
        <f t="shared" si="9"/>
        <v>1470.7805856860193</v>
      </c>
      <c r="AJ37">
        <f t="shared" si="10"/>
        <v>367.69514642150483</v>
      </c>
      <c r="AK37" s="10">
        <f t="shared" si="11"/>
        <v>544.18881670382666</v>
      </c>
      <c r="AL37" s="4">
        <f t="shared" si="23"/>
        <v>0.61728395061728403</v>
      </c>
      <c r="AM37">
        <f t="shared" si="12"/>
        <v>1470.7805856860193</v>
      </c>
      <c r="AN37" s="10">
        <f t="shared" si="24"/>
        <v>974.95717279306837</v>
      </c>
      <c r="AO37" s="10">
        <f t="shared" si="24"/>
        <v>880.72250845130861</v>
      </c>
      <c r="AP37" s="10">
        <f t="shared" si="25"/>
        <v>1855.679681244377</v>
      </c>
      <c r="AQ37" s="9">
        <f t="shared" si="26"/>
        <v>0.52539087572445908</v>
      </c>
      <c r="AR37" s="9">
        <f t="shared" si="27"/>
        <v>0.47460912427554086</v>
      </c>
      <c r="AS37">
        <f t="shared" si="39"/>
        <v>1470.7805856860193</v>
      </c>
      <c r="AT37">
        <f t="shared" si="40"/>
        <v>974.95717279306837</v>
      </c>
      <c r="AU37">
        <f t="shared" si="41"/>
        <v>880.72250845130861</v>
      </c>
      <c r="AV37">
        <f t="shared" si="31"/>
        <v>0.44214584503161136</v>
      </c>
      <c r="AW37">
        <f t="shared" si="32"/>
        <v>0.29309148300536991</v>
      </c>
      <c r="AX37">
        <f t="shared" si="33"/>
        <v>0.26476267196301889</v>
      </c>
      <c r="AY37" s="3">
        <f t="shared" si="13"/>
        <v>4.0616748631318159E-2</v>
      </c>
      <c r="AZ37">
        <f t="shared" si="14"/>
        <v>9.1172163283237528E-3</v>
      </c>
      <c r="BA37" s="11">
        <f t="shared" si="34"/>
        <v>3.6058140467156281E-2</v>
      </c>
    </row>
    <row r="38" spans="1:53" x14ac:dyDescent="0.2">
      <c r="H38" s="10">
        <f t="shared" si="35"/>
        <v>34</v>
      </c>
      <c r="I38">
        <f t="shared" si="15"/>
        <v>250</v>
      </c>
      <c r="J38">
        <f t="shared" si="16"/>
        <v>0</v>
      </c>
      <c r="K38">
        <f t="shared" si="17"/>
        <v>-100</v>
      </c>
      <c r="L38" s="9">
        <f t="shared" si="0"/>
        <v>0.51002816562648323</v>
      </c>
      <c r="M38" s="11">
        <f t="shared" si="1"/>
        <v>0.51002816562648323</v>
      </c>
      <c r="N38" s="10">
        <f>SUMPRODUCT(I39:I$54, L39:L$54) / L38</f>
        <v>245.0980392156863</v>
      </c>
      <c r="O38" s="10">
        <f>SUMPRODUCT(J39:J$54, M39:M$54) / M38</f>
        <v>1.259731715742554E-3</v>
      </c>
      <c r="P38" s="10">
        <f>SUMPRODUCT(K39:K$54, M39:M$54) / M38</f>
        <v>-1357.7709314288284</v>
      </c>
      <c r="Q38" s="10" cm="1">
        <f t="array" ref="Q38">IF($H38 &gt;= $B$12 - 1, 0, SUMPRODUCT(I39:I$54*L39:L$54, $H39:$H$54 - $H38) / L38 /N38) / (1 + $B$10)</f>
        <v>0.98039215686274506</v>
      </c>
      <c r="R38" s="10" cm="1">
        <f t="array" ref="R38">SUMPRODUCT(J39:J$54*L39:L$54, $H39:$H$54 - $H38) / L38 /O38 / (1 + $B$10)</f>
        <v>8.4616625610950091</v>
      </c>
      <c r="S38" s="10" cm="1">
        <f t="array" ref="S38">SUMPRODUCT(K39:K$54*M39:M$54, $H39:$H$54 - $H38) / M38 /P38 / (1 + $B$10)</f>
        <v>7.9214699072457861</v>
      </c>
      <c r="T38" s="10">
        <f t="shared" si="36"/>
        <v>-94.534422144968872</v>
      </c>
      <c r="U38" s="10">
        <f t="shared" si="37"/>
        <v>55.465577855031128</v>
      </c>
      <c r="V38" s="10">
        <f t="shared" si="18"/>
        <v>-1112.6716324814263</v>
      </c>
      <c r="W38">
        <f t="shared" si="42"/>
        <v>3501.8718163488174</v>
      </c>
      <c r="X38" s="10">
        <f t="shared" si="44"/>
        <v>2389.2001838673914</v>
      </c>
      <c r="Y38" s="10">
        <f t="shared" si="2"/>
        <v>245.0980392156863</v>
      </c>
      <c r="Z38">
        <f t="shared" si="3"/>
        <v>0</v>
      </c>
      <c r="AA38" s="10">
        <f t="shared" si="4"/>
        <v>12.98876731402683</v>
      </c>
      <c r="AB38" s="10">
        <f t="shared" si="5"/>
        <v>232.10927190165947</v>
      </c>
      <c r="AC38" s="10">
        <f t="shared" si="6"/>
        <v>5.7618511870933782E-4</v>
      </c>
      <c r="AD38" s="10">
        <f t="shared" si="7"/>
        <v>6.835465970332162E-4</v>
      </c>
      <c r="AE38">
        <f t="shared" si="20"/>
        <v>-581.38062563494839</v>
      </c>
      <c r="AF38" s="10">
        <f t="shared" si="8"/>
        <v>-776.39030579387997</v>
      </c>
      <c r="AG38" s="10">
        <f t="shared" si="21"/>
        <v>-568.39128213580284</v>
      </c>
      <c r="AH38" s="10">
        <f t="shared" si="22"/>
        <v>-544.28035034562345</v>
      </c>
      <c r="AI38">
        <f t="shared" si="9"/>
        <v>1474.8149283132047</v>
      </c>
      <c r="AJ38">
        <f t="shared" si="10"/>
        <v>368.70373207830119</v>
      </c>
      <c r="AK38" s="10">
        <f t="shared" si="11"/>
        <v>545.68152347588546</v>
      </c>
      <c r="AL38" s="4">
        <f t="shared" si="23"/>
        <v>0.61728395061728403</v>
      </c>
      <c r="AM38">
        <f t="shared" si="12"/>
        <v>1474.8149283132047</v>
      </c>
      <c r="AN38" s="10">
        <f t="shared" si="24"/>
        <v>937.09501421410403</v>
      </c>
      <c r="AO38" s="10">
        <f t="shared" si="24"/>
        <v>1089.961873821509</v>
      </c>
      <c r="AP38" s="10">
        <f t="shared" si="25"/>
        <v>2027.0568880356132</v>
      </c>
      <c r="AQ38" s="9">
        <f t="shared" si="26"/>
        <v>0.46229339676906012</v>
      </c>
      <c r="AR38" s="9">
        <f t="shared" si="27"/>
        <v>0.53770660323093977</v>
      </c>
      <c r="AS38">
        <f t="shared" si="39"/>
        <v>1474.8149283132047</v>
      </c>
      <c r="AT38">
        <f t="shared" si="40"/>
        <v>937.09501421410403</v>
      </c>
      <c r="AU38">
        <f t="shared" si="41"/>
        <v>1089.9618738215086</v>
      </c>
      <c r="AV38">
        <f t="shared" si="31"/>
        <v>0.42115046057022781</v>
      </c>
      <c r="AW38">
        <f t="shared" si="32"/>
        <v>0.26759831980119547</v>
      </c>
      <c r="AX38">
        <f t="shared" si="33"/>
        <v>0.31125121962857671</v>
      </c>
      <c r="AY38" s="3">
        <f t="shared" si="13"/>
        <v>3.9522001620821062E-2</v>
      </c>
      <c r="AZ38">
        <f t="shared" si="14"/>
        <v>8.0668409068455869E-3</v>
      </c>
      <c r="BA38" s="11">
        <f t="shared" si="34"/>
        <v>3.5488581167398267E-2</v>
      </c>
    </row>
    <row r="39" spans="1:53" x14ac:dyDescent="0.2">
      <c r="H39" s="10">
        <f t="shared" si="35"/>
        <v>35</v>
      </c>
      <c r="I39">
        <f t="shared" si="15"/>
        <v>250</v>
      </c>
      <c r="J39">
        <f t="shared" si="16"/>
        <v>0</v>
      </c>
      <c r="K39">
        <f t="shared" si="17"/>
        <v>-100</v>
      </c>
      <c r="L39" s="9">
        <f t="shared" si="0"/>
        <v>0.50002761335929735</v>
      </c>
      <c r="M39" s="11">
        <f t="shared" si="1"/>
        <v>0.50002761335929735</v>
      </c>
      <c r="N39" s="10">
        <f>SUMPRODUCT(I40:I$54, L40:L$54) / L39</f>
        <v>0</v>
      </c>
      <c r="O39" s="10">
        <f>SUMPRODUCT(J40:J$54, M40:M$54) / M39</f>
        <v>1.284926350057405E-3</v>
      </c>
      <c r="P39" s="10">
        <f>SUMPRODUCT(K40:K$54, M40:M$54) / M39</f>
        <v>-1284.9263500574048</v>
      </c>
      <c r="Q39" s="10" cm="1">
        <f t="array" ref="Q39">IF($H39 &gt;= $B$12 - 1, 0, SUMPRODUCT(I40:I$54*L40:L$54, $H40:$H$54 - $H39) / L39 /N39) / (1 + $B$10)</f>
        <v>0</v>
      </c>
      <c r="R39" s="10" cm="1">
        <f t="array" ref="R39">SUMPRODUCT(J40:J$54*L40:L$54, $H40:$H$54 - $H39) / L39 /O39 / (1 + $B$10)</f>
        <v>7.481270404232264</v>
      </c>
      <c r="S39" s="10" cm="1">
        <f t="array" ref="S39">SUMPRODUCT(K40:K$54*M40:M$54, $H40:$H$54 - $H39) / M39 /P39 / (1 + $B$10)</f>
        <v>7.4812704042322649</v>
      </c>
      <c r="T39" s="10">
        <f t="shared" si="36"/>
        <v>-94.793729517331229</v>
      </c>
      <c r="U39" s="10">
        <f t="shared" si="37"/>
        <v>55.206270482668771</v>
      </c>
      <c r="V39" s="10">
        <f t="shared" si="18"/>
        <v>-1284.9250651310547</v>
      </c>
      <c r="W39">
        <f>W38 * (1+BA38) + U39</f>
        <v>3681.3545490238057</v>
      </c>
      <c r="X39" s="10">
        <f t="shared" si="44"/>
        <v>2396.4294838927508</v>
      </c>
      <c r="Y39" s="10">
        <f t="shared" si="2"/>
        <v>0</v>
      </c>
      <c r="Z39">
        <f t="shared" si="3"/>
        <v>0</v>
      </c>
      <c r="AA39" s="10">
        <f t="shared" si="4"/>
        <v>0</v>
      </c>
      <c r="AB39" s="10">
        <f t="shared" si="5"/>
        <v>0</v>
      </c>
      <c r="AC39" s="10">
        <f t="shared" si="6"/>
        <v>5.1961521482717023E-4</v>
      </c>
      <c r="AD39" s="10">
        <f t="shared" si="7"/>
        <v>7.6531113523023474E-4</v>
      </c>
      <c r="AE39">
        <f t="shared" si="20"/>
        <v>-519.61521482717023</v>
      </c>
      <c r="AF39" s="10">
        <f t="shared" si="8"/>
        <v>-765.31113523023453</v>
      </c>
      <c r="AG39" s="10">
        <f t="shared" si="21"/>
        <v>-519.61469521195545</v>
      </c>
      <c r="AH39" s="10">
        <f t="shared" si="22"/>
        <v>-765.31036991909934</v>
      </c>
      <c r="AI39">
        <f t="shared" si="9"/>
        <v>1479.2774591930563</v>
      </c>
      <c r="AJ39">
        <f t="shared" si="10"/>
        <v>369.81936479826408</v>
      </c>
      <c r="AK39" s="10">
        <f t="shared" si="11"/>
        <v>547.33265990143036</v>
      </c>
      <c r="AL39" s="4">
        <f t="shared" si="23"/>
        <v>0.61728395061728403</v>
      </c>
      <c r="AM39">
        <f t="shared" si="12"/>
        <v>1479.2774591930563</v>
      </c>
      <c r="AN39" s="10">
        <f t="shared" si="24"/>
        <v>889.43406001021958</v>
      </c>
      <c r="AO39" s="10">
        <f t="shared" si="24"/>
        <v>1312.6430298205296</v>
      </c>
      <c r="AP39" s="10">
        <f t="shared" si="25"/>
        <v>2202.0770898307492</v>
      </c>
      <c r="AQ39" s="9">
        <f t="shared" si="26"/>
        <v>0.40390686780115459</v>
      </c>
      <c r="AR39" s="9">
        <f t="shared" si="27"/>
        <v>0.59609313219884541</v>
      </c>
      <c r="AS39">
        <f t="shared" si="39"/>
        <v>1479.2774591930563</v>
      </c>
      <c r="AT39">
        <f t="shared" si="40"/>
        <v>889.43406001021958</v>
      </c>
      <c r="AU39">
        <f t="shared" si="41"/>
        <v>1312.6430298205296</v>
      </c>
      <c r="AV39">
        <f t="shared" si="31"/>
        <v>0.40182966337358628</v>
      </c>
      <c r="AW39">
        <f t="shared" si="32"/>
        <v>0.24160510707833699</v>
      </c>
      <c r="AX39">
        <f t="shared" si="33"/>
        <v>0.35656522954807668</v>
      </c>
      <c r="AY39" s="3">
        <f t="shared" si="13"/>
        <v>3.8489237605726825E-2</v>
      </c>
      <c r="AZ39">
        <f t="shared" si="14"/>
        <v>7.1228194387177651E-3</v>
      </c>
      <c r="BA39" s="11">
        <f t="shared" si="34"/>
        <v>3.4927827886367946E-2</v>
      </c>
    </row>
    <row r="40" spans="1:53" x14ac:dyDescent="0.2">
      <c r="H40" s="10">
        <f t="shared" si="35"/>
        <v>36</v>
      </c>
      <c r="I40">
        <f t="shared" si="15"/>
        <v>0</v>
      </c>
      <c r="J40">
        <f t="shared" si="16"/>
        <v>1E-4</v>
      </c>
      <c r="K40">
        <f t="shared" si="17"/>
        <v>-100</v>
      </c>
      <c r="L40" s="9">
        <f t="shared" si="0"/>
        <v>0.49022315035225233</v>
      </c>
      <c r="M40" s="11">
        <f t="shared" si="1"/>
        <v>0.49022315035225233</v>
      </c>
      <c r="N40" s="10">
        <f>SUMPRODUCT(I41:I$54, L41:L$54) / L40</f>
        <v>0</v>
      </c>
      <c r="O40" s="10">
        <f>SUMPRODUCT(J41:J$54, M41:M$54) / M40</f>
        <v>1.2106248770585527E-3</v>
      </c>
      <c r="P40" s="10">
        <f>SUMPRODUCT(K41:K$54, M41:M$54) / M40</f>
        <v>-1210.6248770585528</v>
      </c>
      <c r="Q40" s="10" cm="1">
        <f t="array" ref="Q40">IF($H40 &gt;= $B$12 - 1, 0, SUMPRODUCT(I41:I$54*L41:L$54, $H41:$H$54 - $H40) / L40 /N40) / (1 + $B$10)</f>
        <v>0</v>
      </c>
      <c r="R40" s="10" cm="1">
        <f t="array" ref="R40">SUMPRODUCT(J41:J$54*L41:L$54, $H41:$H$54 - $H40) / L40 /O40 / (1 + $B$10)</f>
        <v>7.0378635985350018</v>
      </c>
      <c r="S40" s="10" cm="1">
        <f t="array" ref="S40">SUMPRODUCT(K41:K$54*M41:M$54, $H41:$H$54 - $H40) / M40 /P40 / (1 + $B$10)</f>
        <v>7.0378635985349982</v>
      </c>
      <c r="T40" s="10">
        <f t="shared" si="36"/>
        <v>-95.080558689633676</v>
      </c>
      <c r="U40" s="10">
        <f t="shared" si="37"/>
        <v>-195.08045868963367</v>
      </c>
      <c r="V40" s="10">
        <f t="shared" si="18"/>
        <v>-1210.6236664336757</v>
      </c>
      <c r="W40">
        <f t="shared" si="42"/>
        <v>3614.8558084111733</v>
      </c>
      <c r="X40" s="10">
        <f t="shared" si="44"/>
        <v>2404.2321419774976</v>
      </c>
      <c r="Y40" s="10">
        <f t="shared" si="2"/>
        <v>0</v>
      </c>
      <c r="Z40">
        <f t="shared" si="3"/>
        <v>0</v>
      </c>
      <c r="AA40" s="10">
        <f t="shared" si="4"/>
        <v>0</v>
      </c>
      <c r="AB40" s="10">
        <f t="shared" si="5"/>
        <v>0</v>
      </c>
      <c r="AC40" s="10">
        <f t="shared" si="6"/>
        <v>4.6055204074223243E-4</v>
      </c>
      <c r="AD40" s="10">
        <f t="shared" si="7"/>
        <v>7.500728363163203E-4</v>
      </c>
      <c r="AE40">
        <f t="shared" si="20"/>
        <v>-460.55204074223218</v>
      </c>
      <c r="AF40" s="10">
        <f t="shared" si="8"/>
        <v>-750.0728363163206</v>
      </c>
      <c r="AG40" s="10">
        <f t="shared" si="21"/>
        <v>-460.55158019019143</v>
      </c>
      <c r="AH40" s="10">
        <f t="shared" si="22"/>
        <v>-750.07208624348425</v>
      </c>
      <c r="AI40">
        <f t="shared" si="9"/>
        <v>1484.0939148009247</v>
      </c>
      <c r="AJ40">
        <f t="shared" si="10"/>
        <v>371.02347870023118</v>
      </c>
      <c r="AK40" s="10">
        <f t="shared" si="11"/>
        <v>549.11474847634167</v>
      </c>
      <c r="AL40" s="4">
        <f t="shared" si="23"/>
        <v>0.61728395061728403</v>
      </c>
      <c r="AM40">
        <f t="shared" si="12"/>
        <v>1484.0939148009247</v>
      </c>
      <c r="AN40" s="10">
        <f>AJ40 - AG40</f>
        <v>831.57505889042261</v>
      </c>
      <c r="AO40" s="10">
        <f t="shared" si="24"/>
        <v>1299.186834719826</v>
      </c>
      <c r="AP40" s="10">
        <f t="shared" si="25"/>
        <v>2130.7618936102485</v>
      </c>
      <c r="AQ40" s="9">
        <f t="shared" si="26"/>
        <v>0.39027122710620965</v>
      </c>
      <c r="AR40" s="9">
        <f t="shared" si="27"/>
        <v>0.60972877289379046</v>
      </c>
      <c r="AS40">
        <f t="shared" si="39"/>
        <v>1484.0939148009247</v>
      </c>
      <c r="AT40">
        <f t="shared" si="40"/>
        <v>831.57505889042261</v>
      </c>
      <c r="AU40">
        <f t="shared" si="41"/>
        <v>1299.186834719826</v>
      </c>
      <c r="AV40">
        <f t="shared" si="31"/>
        <v>0.41055411154925819</v>
      </c>
      <c r="AW40">
        <f t="shared" si="32"/>
        <v>0.23004377019838096</v>
      </c>
      <c r="AX40">
        <f t="shared" si="33"/>
        <v>0.35940211825236085</v>
      </c>
      <c r="AY40" s="3">
        <f t="shared" si="13"/>
        <v>3.8722602163954137E-2</v>
      </c>
      <c r="AZ40">
        <f t="shared" si="14"/>
        <v>7.1757839968335946E-3</v>
      </c>
      <c r="BA40" s="11">
        <f t="shared" si="34"/>
        <v>3.513471016553734E-2</v>
      </c>
    </row>
    <row r="41" spans="1:53" x14ac:dyDescent="0.2">
      <c r="H41" s="10">
        <f t="shared" si="35"/>
        <v>37</v>
      </c>
      <c r="I41">
        <f t="shared" si="15"/>
        <v>0</v>
      </c>
      <c r="J41">
        <f t="shared" si="16"/>
        <v>1E-4</v>
      </c>
      <c r="K41">
        <f t="shared" si="17"/>
        <v>-100</v>
      </c>
      <c r="L41" s="9">
        <f t="shared" si="0"/>
        <v>0.48061093171789437</v>
      </c>
      <c r="M41" s="11">
        <f t="shared" si="1"/>
        <v>0.48061093171789437</v>
      </c>
      <c r="N41" s="10">
        <f>SUMPRODUCT(I42:I$54, L42:L$54) / L41</f>
        <v>0</v>
      </c>
      <c r="O41" s="10">
        <f>SUMPRODUCT(J42:J$54, M42:M$54) / M41</f>
        <v>1.1348373745997242E-3</v>
      </c>
      <c r="P41" s="10">
        <f>SUMPRODUCT(K42:K$54, M42:M$54) / M41</f>
        <v>-1134.8373745997239</v>
      </c>
      <c r="Q41" s="10" cm="1">
        <f t="array" ref="Q41">IF($H41 &gt;= $B$12 - 1, 0, SUMPRODUCT(I42:I$54*L42:L$54, $H42:$H$54 - $H41) / L41 /N41) / (1 + $B$10)</f>
        <v>0</v>
      </c>
      <c r="R41" s="10" cm="1">
        <f t="array" ref="R41">SUMPRODUCT(J42:J$54*L42:L$54, $H42:$H$54 - $H41) / L41 /O41 / (1 + $B$10)</f>
        <v>6.5912458464682553</v>
      </c>
      <c r="S41" s="10" cm="1">
        <f t="array" ref="S41">SUMPRODUCT(K42:K$54*M42:M$54, $H42:$H$54 - $H41) / M41 /P41 / (1 + $B$10)</f>
        <v>6.5912458464682571</v>
      </c>
      <c r="T41" s="10">
        <f t="shared" si="36"/>
        <v>-95.390136373829421</v>
      </c>
      <c r="U41" s="10">
        <f t="shared" si="37"/>
        <v>-195.39003637382942</v>
      </c>
      <c r="V41" s="10">
        <f t="shared" si="18"/>
        <v>-1134.8362397623494</v>
      </c>
      <c r="W41">
        <f t="shared" si="42"/>
        <v>3546.4726831560793</v>
      </c>
      <c r="X41" s="10">
        <f t="shared" si="44"/>
        <v>2411.6364433937297</v>
      </c>
      <c r="Y41" s="10">
        <f t="shared" si="2"/>
        <v>0</v>
      </c>
      <c r="Z41">
        <f t="shared" si="3"/>
        <v>0</v>
      </c>
      <c r="AA41" s="10">
        <f t="shared" si="4"/>
        <v>0</v>
      </c>
      <c r="AB41" s="10">
        <f t="shared" si="5"/>
        <v>0</v>
      </c>
      <c r="AC41" s="10">
        <f t="shared" si="6"/>
        <v>4.0432389901337139E-4</v>
      </c>
      <c r="AD41" s="10">
        <f t="shared" si="7"/>
        <v>7.3051347558635276E-4</v>
      </c>
      <c r="AE41">
        <f t="shared" si="20"/>
        <v>-404.32389901337143</v>
      </c>
      <c r="AF41" s="10">
        <f t="shared" si="8"/>
        <v>-730.51347558635257</v>
      </c>
      <c r="AG41" s="10">
        <f t="shared" si="21"/>
        <v>-404.3234946894724</v>
      </c>
      <c r="AH41" s="10">
        <f t="shared" si="22"/>
        <v>-730.51274507287701</v>
      </c>
      <c r="AI41">
        <f t="shared" si="9"/>
        <v>1488.6644712306975</v>
      </c>
      <c r="AJ41">
        <f t="shared" si="10"/>
        <v>372.16611780767437</v>
      </c>
      <c r="AK41" s="10">
        <f t="shared" si="11"/>
        <v>550.80585435535784</v>
      </c>
      <c r="AL41" s="4">
        <f t="shared" si="23"/>
        <v>0.61728395061728403</v>
      </c>
      <c r="AM41">
        <f t="shared" si="12"/>
        <v>1488.6644712306975</v>
      </c>
      <c r="AN41" s="10">
        <f t="shared" ref="AN41:AN54" si="45">AJ41 - AG41</f>
        <v>776.48961249714671</v>
      </c>
      <c r="AO41" s="10">
        <f t="shared" si="24"/>
        <v>1281.3185994282348</v>
      </c>
      <c r="AP41" s="10">
        <f t="shared" si="25"/>
        <v>2057.8082119253813</v>
      </c>
      <c r="AQ41" s="9">
        <f t="shared" si="26"/>
        <v>0.37733818341147879</v>
      </c>
      <c r="AR41" s="9">
        <f t="shared" si="27"/>
        <v>0.62266181658852138</v>
      </c>
      <c r="AS41">
        <f t="shared" si="39"/>
        <v>1488.6644712306975</v>
      </c>
      <c r="AT41">
        <f t="shared" si="40"/>
        <v>776.48961249714671</v>
      </c>
      <c r="AU41">
        <f t="shared" si="41"/>
        <v>1281.3185994282351</v>
      </c>
      <c r="AV41">
        <f t="shared" si="31"/>
        <v>0.41975918165141601</v>
      </c>
      <c r="AW41">
        <f t="shared" si="32"/>
        <v>0.21894701633684446</v>
      </c>
      <c r="AX41">
        <f t="shared" si="33"/>
        <v>0.3612938020117395</v>
      </c>
      <c r="AY41" s="3">
        <f t="shared" si="13"/>
        <v>3.8979837429425089E-2</v>
      </c>
      <c r="AZ41">
        <f t="shared" si="14"/>
        <v>7.2619923560085214E-3</v>
      </c>
      <c r="BA41" s="11">
        <f t="shared" si="34"/>
        <v>3.5348841251420828E-2</v>
      </c>
    </row>
    <row r="42" spans="1:53" x14ac:dyDescent="0.2">
      <c r="H42" s="10">
        <f t="shared" si="35"/>
        <v>38</v>
      </c>
      <c r="I42">
        <f t="shared" si="15"/>
        <v>0</v>
      </c>
      <c r="J42">
        <f t="shared" si="16"/>
        <v>1E-4</v>
      </c>
      <c r="K42">
        <f t="shared" si="17"/>
        <v>-100</v>
      </c>
      <c r="L42" s="9">
        <f t="shared" si="0"/>
        <v>0.47118718795871989</v>
      </c>
      <c r="M42" s="11">
        <f t="shared" si="1"/>
        <v>0.47118718795871989</v>
      </c>
      <c r="N42" s="10">
        <f>SUMPRODUCT(I43:I$54, L43:L$54) / L42</f>
        <v>0</v>
      </c>
      <c r="O42" s="10">
        <f>SUMPRODUCT(J43:J$54, M43:M$54) / M42</f>
        <v>1.0575341220917186E-3</v>
      </c>
      <c r="P42" s="10">
        <f>SUMPRODUCT(K43:K$54, M43:M$54) / M42</f>
        <v>-1057.5341220917187</v>
      </c>
      <c r="Q42" s="10" cm="1">
        <f t="array" ref="Q42">IF($H42 &gt;= $B$12 - 1, 0, SUMPRODUCT(I43:I$54*L43:L$54, $H43:$H$54 - $H42) / L42 /N42) / (1 + $B$10)</f>
        <v>0</v>
      </c>
      <c r="R42" s="10" cm="1">
        <f t="array" ref="R42">SUMPRODUCT(J43:J$54*L43:L$54, $H43:$H$54 - $H42) / L42 /O42 / (1 + $B$10)</f>
        <v>6.1414137512050084</v>
      </c>
      <c r="S42" s="10" cm="1">
        <f t="array" ref="S42">SUMPRODUCT(K43:K$54*M43:M$54, $H43:$H$54 - $H42) / M42 /P42 / (1 + $B$10)</f>
        <v>6.1414137512050067</v>
      </c>
      <c r="T42" s="10">
        <f t="shared" si="36"/>
        <v>-95.683908888353074</v>
      </c>
      <c r="U42" s="10">
        <f t="shared" si="37"/>
        <v>-195.68380888835307</v>
      </c>
      <c r="V42" s="10">
        <f t="shared" si="18"/>
        <v>-1057.5330645575966</v>
      </c>
      <c r="W42">
        <f t="shared" si="42"/>
        <v>3476.152574147111</v>
      </c>
      <c r="X42" s="10">
        <f t="shared" si="44"/>
        <v>2418.6195095895146</v>
      </c>
      <c r="Y42" s="10">
        <f t="shared" si="2"/>
        <v>0</v>
      </c>
      <c r="Z42">
        <f t="shared" si="3"/>
        <v>0</v>
      </c>
      <c r="AA42" s="10">
        <f t="shared" si="4"/>
        <v>0</v>
      </c>
      <c r="AB42" s="10">
        <f t="shared" si="5"/>
        <v>0</v>
      </c>
      <c r="AC42" s="10">
        <f t="shared" si="6"/>
        <v>3.5106781620446474E-4</v>
      </c>
      <c r="AD42" s="10">
        <f t="shared" si="7"/>
        <v>7.0646630588725389E-4</v>
      </c>
      <c r="AE42">
        <f t="shared" si="20"/>
        <v>-351.06781620446463</v>
      </c>
      <c r="AF42" s="10">
        <f t="shared" si="8"/>
        <v>-706.46630588725407</v>
      </c>
      <c r="AG42" s="10">
        <f t="shared" si="21"/>
        <v>-351.06746513664842</v>
      </c>
      <c r="AH42" s="10">
        <f t="shared" si="22"/>
        <v>-706.46559942094814</v>
      </c>
      <c r="AI42">
        <f t="shared" si="9"/>
        <v>1492.9750059194537</v>
      </c>
      <c r="AJ42">
        <f t="shared" si="10"/>
        <v>373.24375147986342</v>
      </c>
      <c r="AK42" s="10">
        <f t="shared" si="11"/>
        <v>552.40075219019741</v>
      </c>
      <c r="AL42" s="4">
        <f t="shared" si="23"/>
        <v>0.61728395061728403</v>
      </c>
      <c r="AM42">
        <f t="shared" si="12"/>
        <v>1492.9750059194537</v>
      </c>
      <c r="AN42" s="10">
        <f t="shared" si="45"/>
        <v>724.31121661651184</v>
      </c>
      <c r="AO42" s="10">
        <f t="shared" si="24"/>
        <v>1258.8663516111455</v>
      </c>
      <c r="AP42" s="10">
        <f t="shared" si="25"/>
        <v>1983.1775682276575</v>
      </c>
      <c r="AQ42" s="9">
        <f t="shared" si="26"/>
        <v>0.36522761663940173</v>
      </c>
      <c r="AR42" s="9">
        <f t="shared" si="27"/>
        <v>0.63477238336059827</v>
      </c>
      <c r="AS42">
        <f t="shared" si="39"/>
        <v>1492.9750059194537</v>
      </c>
      <c r="AT42">
        <f t="shared" si="40"/>
        <v>724.31121661651184</v>
      </c>
      <c r="AU42">
        <f t="shared" si="41"/>
        <v>1258.8663516111455</v>
      </c>
      <c r="AV42">
        <f t="shared" si="31"/>
        <v>0.42949064348412885</v>
      </c>
      <c r="AW42">
        <f t="shared" si="32"/>
        <v>0.20836577255077038</v>
      </c>
      <c r="AX42">
        <f t="shared" si="33"/>
        <v>0.36214358396510082</v>
      </c>
      <c r="AY42" s="3">
        <f t="shared" si="13"/>
        <v>3.9263283464872858E-2</v>
      </c>
      <c r="AZ42">
        <f t="shared" si="14"/>
        <v>7.38326365955933E-3</v>
      </c>
      <c r="BA42" s="11">
        <f t="shared" si="34"/>
        <v>3.5571651635093196E-2</v>
      </c>
    </row>
    <row r="43" spans="1:53" x14ac:dyDescent="0.2">
      <c r="H43" s="10">
        <f t="shared" si="35"/>
        <v>39</v>
      </c>
      <c r="I43">
        <f t="shared" si="15"/>
        <v>0</v>
      </c>
      <c r="J43">
        <f t="shared" si="16"/>
        <v>1E-4</v>
      </c>
      <c r="K43">
        <f t="shared" si="17"/>
        <v>-100</v>
      </c>
      <c r="L43" s="9">
        <f t="shared" si="0"/>
        <v>0.46194822348894127</v>
      </c>
      <c r="M43" s="11">
        <f t="shared" si="1"/>
        <v>0.46194822348894127</v>
      </c>
      <c r="N43" s="10">
        <f>SUMPRODUCT(I44:I$54, L44:L$54) / L43</f>
        <v>0</v>
      </c>
      <c r="O43" s="10">
        <f>SUMPRODUCT(J44:J$54, M44:M$54) / M43</f>
        <v>9.7868480453355247E-4</v>
      </c>
      <c r="P43" s="10">
        <f>SUMPRODUCT(K44:K$54, M44:M$54) / M43</f>
        <v>-978.68480453355244</v>
      </c>
      <c r="Q43" s="10" cm="1">
        <f t="array" ref="Q43">IF($H43 &gt;= $B$12 - 1, 0, SUMPRODUCT(I44:I$54*L44:L$54, $H44:$H$54 - $H43) / L43 /N43) / (1 + $B$10)</f>
        <v>0</v>
      </c>
      <c r="R43" s="10" cm="1">
        <f t="array" ref="R43">SUMPRODUCT(J44:J$54*L44:L$54, $H44:$H$54 - $H43) / L43 /O43 / (1 + $B$10)</f>
        <v>5.6883641637205669</v>
      </c>
      <c r="S43" s="10" cm="1">
        <f t="array" ref="S43">SUMPRODUCT(K44:K$54*M44:M$54, $H44:$H$54 - $H43) / M43 /P43 / (1 + $B$10)</f>
        <v>5.6883641637205669</v>
      </c>
      <c r="T43" s="10">
        <f t="shared" si="36"/>
        <v>-95.960968505472877</v>
      </c>
      <c r="U43" s="10">
        <f t="shared" si="37"/>
        <v>-195.96086850547289</v>
      </c>
      <c r="V43" s="10">
        <f t="shared" si="18"/>
        <v>-978.68382584874792</v>
      </c>
      <c r="W43">
        <f t="shared" si="42"/>
        <v>3403.8441940396319</v>
      </c>
      <c r="X43" s="10">
        <f t="shared" si="44"/>
        <v>2425.1603681908841</v>
      </c>
      <c r="Y43" s="10">
        <f t="shared" si="2"/>
        <v>0</v>
      </c>
      <c r="Z43">
        <f t="shared" si="3"/>
        <v>0</v>
      </c>
      <c r="AA43" s="10">
        <f t="shared" si="4"/>
        <v>0</v>
      </c>
      <c r="AB43" s="10">
        <f t="shared" si="5"/>
        <v>0</v>
      </c>
      <c r="AC43" s="10">
        <f t="shared" si="6"/>
        <v>3.0092516592900151E-4</v>
      </c>
      <c r="AD43" s="10">
        <f t="shared" si="7"/>
        <v>6.7775963860455097E-4</v>
      </c>
      <c r="AE43">
        <f t="shared" si="20"/>
        <v>-300.92516592900148</v>
      </c>
      <c r="AF43" s="10">
        <f t="shared" si="8"/>
        <v>-677.7596386045509</v>
      </c>
      <c r="AG43" s="10">
        <f t="shared" si="21"/>
        <v>-300.92486500383558</v>
      </c>
      <c r="AH43" s="10">
        <f t="shared" si="22"/>
        <v>-677.75896084491228</v>
      </c>
      <c r="AI43">
        <f t="shared" si="9"/>
        <v>1497.012572957336</v>
      </c>
      <c r="AJ43">
        <f t="shared" si="10"/>
        <v>374.25314323933401</v>
      </c>
      <c r="AK43" s="10">
        <f t="shared" si="11"/>
        <v>553.89465199421409</v>
      </c>
      <c r="AL43" s="4">
        <f t="shared" si="23"/>
        <v>0.61728395061728403</v>
      </c>
      <c r="AM43">
        <f t="shared" si="12"/>
        <v>1497.012572957336</v>
      </c>
      <c r="AN43" s="10">
        <f t="shared" si="45"/>
        <v>675.17800824316964</v>
      </c>
      <c r="AO43" s="10">
        <f t="shared" si="24"/>
        <v>1231.6536128391263</v>
      </c>
      <c r="AP43" s="10">
        <f t="shared" si="25"/>
        <v>1906.8316210822959</v>
      </c>
      <c r="AQ43" s="9">
        <f t="shared" si="26"/>
        <v>0.35408370659384508</v>
      </c>
      <c r="AR43" s="9">
        <f t="shared" si="27"/>
        <v>0.64591629340615497</v>
      </c>
      <c r="AS43">
        <f t="shared" si="39"/>
        <v>1497.012572957336</v>
      </c>
      <c r="AT43">
        <f t="shared" si="40"/>
        <v>675.17800824316964</v>
      </c>
      <c r="AU43">
        <f t="shared" si="41"/>
        <v>1231.6536128391263</v>
      </c>
      <c r="AV43">
        <f t="shared" si="31"/>
        <v>0.4398005571402796</v>
      </c>
      <c r="AW43">
        <f t="shared" si="32"/>
        <v>0.19835749515957674</v>
      </c>
      <c r="AX43">
        <f t="shared" si="33"/>
        <v>0.36184194770014372</v>
      </c>
      <c r="AY43" s="3">
        <f t="shared" si="13"/>
        <v>3.9575597237206953E-2</v>
      </c>
      <c r="AZ43">
        <f t="shared" si="14"/>
        <v>7.5417553206789719E-3</v>
      </c>
      <c r="BA43" s="11">
        <f t="shared" si="34"/>
        <v>3.5804719576867469E-2</v>
      </c>
    </row>
    <row r="44" spans="1:53" x14ac:dyDescent="0.2">
      <c r="H44" s="10">
        <f t="shared" si="35"/>
        <v>40</v>
      </c>
      <c r="I44">
        <f t="shared" si="15"/>
        <v>0</v>
      </c>
      <c r="J44">
        <f t="shared" si="16"/>
        <v>1E-4</v>
      </c>
      <c r="K44">
        <f t="shared" si="17"/>
        <v>-100</v>
      </c>
      <c r="L44" s="9">
        <f t="shared" si="0"/>
        <v>0.45289041518523643</v>
      </c>
      <c r="M44" s="11">
        <f t="shared" si="1"/>
        <v>0.45289041518523643</v>
      </c>
      <c r="N44" s="10">
        <f>SUMPRODUCT(I45:I$54, L45:L$54) / L44</f>
        <v>0</v>
      </c>
      <c r="O44" s="10">
        <f>SUMPRODUCT(J45:J$54, M45:M$54) / M44</f>
        <v>8.982585006242238E-4</v>
      </c>
      <c r="P44" s="10">
        <f>SUMPRODUCT(K45:K$54, M45:M$54) / M44</f>
        <v>-898.25850062422364</v>
      </c>
      <c r="Q44" s="10" cm="1">
        <f t="array" ref="Q44">IF($H44 &gt;= $B$12 - 1, 0, SUMPRODUCT(I45:I$54*L45:L$54, $H45:$H$54 - $H44) / L44 /N44) / (1 + $B$10)</f>
        <v>0</v>
      </c>
      <c r="R44" s="10" cm="1">
        <f t="array" ref="R44">SUMPRODUCT(J45:J$54*L45:L$54, $H45:$H$54 - $H44) / L44 /O44 / (1 + $B$10)</f>
        <v>5.2320941836684076</v>
      </c>
      <c r="S44" s="10" cm="1">
        <f t="array" ref="S44">SUMPRODUCT(K45:K$54*M45:M$54, $H45:$H$54 - $H44) / M44 /P44 / (1 + $B$10)</f>
        <v>5.2320941836684094</v>
      </c>
      <c r="T44" s="10">
        <f t="shared" si="36"/>
        <v>-96.220483126832761</v>
      </c>
      <c r="U44" s="10">
        <f t="shared" si="37"/>
        <v>-196.22038312683276</v>
      </c>
      <c r="V44" s="10">
        <f t="shared" si="18"/>
        <v>-898.25760236572307</v>
      </c>
      <c r="W44">
        <f t="shared" si="42"/>
        <v>3329.4974977637366</v>
      </c>
      <c r="X44" s="10">
        <f t="shared" si="44"/>
        <v>2431.2398953980137</v>
      </c>
      <c r="Y44" s="10">
        <f t="shared" si="2"/>
        <v>0</v>
      </c>
      <c r="Z44">
        <f t="shared" si="3"/>
        <v>0</v>
      </c>
      <c r="AA44" s="10">
        <f t="shared" si="4"/>
        <v>0</v>
      </c>
      <c r="AB44" s="10">
        <f t="shared" si="5"/>
        <v>0</v>
      </c>
      <c r="AC44" s="10">
        <f t="shared" si="6"/>
        <v>2.5404178792144357E-4</v>
      </c>
      <c r="AD44" s="10">
        <f t="shared" si="7"/>
        <v>6.4421671270278023E-4</v>
      </c>
      <c r="AE44">
        <f t="shared" si="20"/>
        <v>-254.04178792144359</v>
      </c>
      <c r="AF44" s="10">
        <f t="shared" si="8"/>
        <v>-644.21671270278011</v>
      </c>
      <c r="AG44" s="10">
        <f t="shared" si="21"/>
        <v>-254.04153387965567</v>
      </c>
      <c r="AH44" s="10">
        <f t="shared" si="22"/>
        <v>-644.21606848606746</v>
      </c>
      <c r="AI44">
        <f t="shared" si="9"/>
        <v>1500.7653675296383</v>
      </c>
      <c r="AJ44">
        <f t="shared" si="10"/>
        <v>375.19134188240957</v>
      </c>
      <c r="AK44" s="10">
        <f t="shared" si="11"/>
        <v>555.28318598596582</v>
      </c>
      <c r="AL44" s="4">
        <f t="shared" si="23"/>
        <v>0.61728395061728403</v>
      </c>
      <c r="AM44">
        <f t="shared" si="12"/>
        <v>1500.7653675296383</v>
      </c>
      <c r="AN44" s="10">
        <f t="shared" si="45"/>
        <v>629.23287576206531</v>
      </c>
      <c r="AO44" s="10">
        <f t="shared" si="24"/>
        <v>1199.4992544720333</v>
      </c>
      <c r="AP44" s="10">
        <f t="shared" si="25"/>
        <v>1828.7321302340986</v>
      </c>
      <c r="AQ44" s="9">
        <f t="shared" si="26"/>
        <v>0.34408148977046538</v>
      </c>
      <c r="AR44" s="9">
        <f t="shared" si="27"/>
        <v>0.65591851022953462</v>
      </c>
      <c r="AS44">
        <f t="shared" si="39"/>
        <v>1500.7653675296383</v>
      </c>
      <c r="AT44">
        <f t="shared" si="40"/>
        <v>629.23287576206531</v>
      </c>
      <c r="AU44">
        <f t="shared" si="41"/>
        <v>1199.499254472033</v>
      </c>
      <c r="AV44">
        <f t="shared" si="31"/>
        <v>0.45074830917807573</v>
      </c>
      <c r="AW44">
        <f t="shared" si="32"/>
        <v>0.18898734003695475</v>
      </c>
      <c r="AX44">
        <f t="shared" si="33"/>
        <v>0.36026435078496949</v>
      </c>
      <c r="AY44" s="3">
        <f t="shared" si="13"/>
        <v>3.9919805767492572E-2</v>
      </c>
      <c r="AZ44">
        <f t="shared" si="14"/>
        <v>7.7400441946448607E-3</v>
      </c>
      <c r="BA44" s="11">
        <f t="shared" si="34"/>
        <v>3.6049783670170144E-2</v>
      </c>
    </row>
    <row r="45" spans="1:53" x14ac:dyDescent="0.2">
      <c r="H45" s="10">
        <f t="shared" si="35"/>
        <v>41</v>
      </c>
      <c r="I45">
        <f t="shared" si="15"/>
        <v>0</v>
      </c>
      <c r="J45">
        <f t="shared" si="16"/>
        <v>1E-4</v>
      </c>
      <c r="K45">
        <f t="shared" si="17"/>
        <v>-100</v>
      </c>
      <c r="L45" s="9">
        <f t="shared" si="0"/>
        <v>0.44401021096591808</v>
      </c>
      <c r="M45" s="11">
        <f t="shared" si="1"/>
        <v>0.44401021096591808</v>
      </c>
      <c r="N45" s="10">
        <f>SUMPRODUCT(I46:I$54, L46:L$54) / L45</f>
        <v>0</v>
      </c>
      <c r="O45" s="10">
        <f>SUMPRODUCT(J46:J$54, M46:M$54) / M45</f>
        <v>8.162236706367082E-4</v>
      </c>
      <c r="P45" s="10">
        <f>SUMPRODUCT(K46:K$54, M46:M$54) / M45</f>
        <v>-816.22367063670799</v>
      </c>
      <c r="Q45" s="10" cm="1">
        <f t="array" ref="Q45">IF($H45 &gt;= $B$12 - 1, 0, SUMPRODUCT(I46:I$54*L46:L$54, $H46:$H$54 - $H45) / L45 /N45) / (1 + $B$10)</f>
        <v>0</v>
      </c>
      <c r="R45" s="10" cm="1">
        <f t="array" ref="R45">SUMPRODUCT(J46:J$54*L46:L$54, $H46:$H$54 - $H45) / L45 /O45 / (1 + $B$10)</f>
        <v>4.7726011601877003</v>
      </c>
      <c r="S45" s="10" cm="1">
        <f t="array" ref="S45">SUMPRODUCT(K46:K$54*M46:M$54, $H46:$H$54 - $H45) / M45 /P45 / (1 + $B$10)</f>
        <v>4.7726011601877012</v>
      </c>
      <c r="T45" s="10">
        <f t="shared" si="36"/>
        <v>-96.461693997967487</v>
      </c>
      <c r="U45" s="10">
        <f t="shared" si="37"/>
        <v>-196.4615939979675</v>
      </c>
      <c r="V45" s="10">
        <f t="shared" si="18"/>
        <v>-816.22285441303734</v>
      </c>
      <c r="W45">
        <f t="shared" si="42"/>
        <v>3253.0635682905245</v>
      </c>
      <c r="X45" s="10">
        <f t="shared" si="44"/>
        <v>2436.8407138774874</v>
      </c>
      <c r="Y45" s="10">
        <f t="shared" si="2"/>
        <v>0</v>
      </c>
      <c r="Z45">
        <f t="shared" si="3"/>
        <v>0</v>
      </c>
      <c r="AA45" s="10">
        <f t="shared" si="4"/>
        <v>0</v>
      </c>
      <c r="AB45" s="10">
        <f t="shared" si="5"/>
        <v>0</v>
      </c>
      <c r="AC45" s="10">
        <f t="shared" si="6"/>
        <v>2.1056811013261712E-4</v>
      </c>
      <c r="AD45" s="10">
        <f t="shared" si="7"/>
        <v>6.0565556050409114E-4</v>
      </c>
      <c r="AE45">
        <f t="shared" si="20"/>
        <v>-210.56811013261711</v>
      </c>
      <c r="AF45" s="10">
        <f t="shared" si="8"/>
        <v>-605.65556050409089</v>
      </c>
      <c r="AG45" s="10">
        <f t="shared" si="21"/>
        <v>-210.56789956450697</v>
      </c>
      <c r="AH45" s="10">
        <f t="shared" si="22"/>
        <v>-605.65495484853034</v>
      </c>
      <c r="AI45">
        <f t="shared" si="9"/>
        <v>1504.2226628873382</v>
      </c>
      <c r="AJ45">
        <f t="shared" si="10"/>
        <v>376.05566572183454</v>
      </c>
      <c r="AK45" s="10">
        <f t="shared" si="11"/>
        <v>556.56238526831464</v>
      </c>
      <c r="AL45" s="4">
        <f t="shared" si="23"/>
        <v>0.61728395061728403</v>
      </c>
      <c r="AM45">
        <f t="shared" si="12"/>
        <v>1504.2226628873382</v>
      </c>
      <c r="AN45" s="10">
        <f t="shared" si="45"/>
        <v>586.62356528634155</v>
      </c>
      <c r="AO45" s="10">
        <f t="shared" si="24"/>
        <v>1162.217340116845</v>
      </c>
      <c r="AP45" s="10">
        <f t="shared" si="25"/>
        <v>1748.8409054031865</v>
      </c>
      <c r="AQ45" s="9">
        <f t="shared" si="26"/>
        <v>0.33543563824126038</v>
      </c>
      <c r="AR45" s="9">
        <f t="shared" si="27"/>
        <v>0.66456436175873956</v>
      </c>
      <c r="AS45">
        <f t="shared" si="39"/>
        <v>1504.2226628873382</v>
      </c>
      <c r="AT45">
        <f t="shared" si="40"/>
        <v>586.62356528634155</v>
      </c>
      <c r="AU45">
        <f t="shared" si="41"/>
        <v>1162.2173401168448</v>
      </c>
      <c r="AV45">
        <f t="shared" si="31"/>
        <v>0.46240186559828061</v>
      </c>
      <c r="AW45">
        <f t="shared" si="32"/>
        <v>0.18032957333035166</v>
      </c>
      <c r="AX45">
        <f t="shared" si="33"/>
        <v>0.35726856107136773</v>
      </c>
      <c r="AY45" s="3">
        <f t="shared" si="13"/>
        <v>4.0299370357234743E-2</v>
      </c>
      <c r="AZ45">
        <f t="shared" si="14"/>
        <v>7.981229386571375E-3</v>
      </c>
      <c r="BA45" s="11">
        <f t="shared" si="34"/>
        <v>3.6308755663949054E-2</v>
      </c>
    </row>
    <row r="46" spans="1:53" x14ac:dyDescent="0.2">
      <c r="H46" s="10">
        <f t="shared" si="35"/>
        <v>42</v>
      </c>
      <c r="I46">
        <f t="shared" si="15"/>
        <v>0</v>
      </c>
      <c r="J46">
        <f t="shared" si="16"/>
        <v>1E-4</v>
      </c>
      <c r="K46">
        <f t="shared" si="17"/>
        <v>-100</v>
      </c>
      <c r="L46" s="9">
        <f t="shared" si="0"/>
        <v>0.4353041283979589</v>
      </c>
      <c r="M46" s="11">
        <f t="shared" si="1"/>
        <v>0.4353041283979589</v>
      </c>
      <c r="N46" s="10">
        <f>SUMPRODUCT(I47:I$54, L47:L$54) / L46</f>
        <v>0</v>
      </c>
      <c r="O46" s="10">
        <f>SUMPRODUCT(J47:J$54, M47:M$54) / M46</f>
        <v>7.3254814404944237E-4</v>
      </c>
      <c r="P46" s="10">
        <f>SUMPRODUCT(K47:K$54, M47:M$54) / M46</f>
        <v>-732.54814404944227</v>
      </c>
      <c r="Q46" s="10" cm="1">
        <f t="array" ref="Q46">IF($H46 &gt;= $B$12 - 1, 0, SUMPRODUCT(I47:I$54*L47:L$54, $H47:$H$54 - $H46) / L46 /N46) / (1 + $B$10)</f>
        <v>0</v>
      </c>
      <c r="R46" s="10" cm="1">
        <f t="array" ref="R46">SUMPRODUCT(J47:J$54*L47:L$54, $H47:$H$54 - $H46) / L46 /O46 / (1 + $B$10)</f>
        <v>4.3098826926420921</v>
      </c>
      <c r="S46" s="10" cm="1">
        <f t="array" ref="S46">SUMPRODUCT(K47:K$54*M47:M$54, $H47:$H$54 - $H46) / M46 /P46 / (1 + $B$10)</f>
        <v>4.309882692642093</v>
      </c>
      <c r="T46" s="10">
        <f t="shared" si="36"/>
        <v>-96.683911657083641</v>
      </c>
      <c r="U46" s="10">
        <f t="shared" si="37"/>
        <v>-196.68381165708365</v>
      </c>
      <c r="V46" s="10">
        <f t="shared" si="18"/>
        <v>-732.54741150129826</v>
      </c>
      <c r="W46">
        <f t="shared" si="42"/>
        <v>3174.4944468937956</v>
      </c>
      <c r="X46" s="10">
        <f t="shared" si="44"/>
        <v>2441.9470353924971</v>
      </c>
      <c r="Y46" s="10">
        <f t="shared" si="2"/>
        <v>0</v>
      </c>
      <c r="Z46">
        <f t="shared" si="3"/>
        <v>0</v>
      </c>
      <c r="AA46" s="10">
        <f t="shared" si="4"/>
        <v>0</v>
      </c>
      <c r="AB46" s="10">
        <f t="shared" si="5"/>
        <v>0</v>
      </c>
      <c r="AC46" s="10">
        <f t="shared" si="6"/>
        <v>1.7065927392247447E-4</v>
      </c>
      <c r="AD46" s="10">
        <f t="shared" si="7"/>
        <v>5.6188887012696784E-4</v>
      </c>
      <c r="AE46">
        <f t="shared" si="20"/>
        <v>-170.65927392247451</v>
      </c>
      <c r="AF46" s="10">
        <f t="shared" si="8"/>
        <v>-561.88887012696773</v>
      </c>
      <c r="AG46" s="10">
        <f t="shared" si="21"/>
        <v>-170.65910326320059</v>
      </c>
      <c r="AH46" s="10">
        <f t="shared" si="22"/>
        <v>-561.88830823809758</v>
      </c>
      <c r="AI46">
        <f t="shared" si="9"/>
        <v>1507.3747132052454</v>
      </c>
      <c r="AJ46">
        <f t="shared" si="10"/>
        <v>376.84367830131134</v>
      </c>
      <c r="AK46" s="10">
        <f t="shared" si="11"/>
        <v>557.72864388594041</v>
      </c>
      <c r="AL46" s="4">
        <f t="shared" si="23"/>
        <v>0.61728395061728403</v>
      </c>
      <c r="AM46">
        <f t="shared" si="12"/>
        <v>1507.3747132052454</v>
      </c>
      <c r="AN46" s="10">
        <f t="shared" si="45"/>
        <v>547.50278156451191</v>
      </c>
      <c r="AO46" s="10">
        <f t="shared" si="24"/>
        <v>1119.6169521240381</v>
      </c>
      <c r="AP46" s="10">
        <f t="shared" si="25"/>
        <v>1667.11973368855</v>
      </c>
      <c r="AQ46" s="9">
        <f t="shared" si="26"/>
        <v>0.32841239324373322</v>
      </c>
      <c r="AR46" s="9">
        <f t="shared" si="27"/>
        <v>0.67158760675626672</v>
      </c>
      <c r="AS46">
        <f t="shared" si="39"/>
        <v>1507.3747132052454</v>
      </c>
      <c r="AT46">
        <f t="shared" si="40"/>
        <v>547.50278156451191</v>
      </c>
      <c r="AU46">
        <f t="shared" si="41"/>
        <v>1119.6169521240383</v>
      </c>
      <c r="AV46">
        <f t="shared" si="31"/>
        <v>0.47483929753923282</v>
      </c>
      <c r="AW46">
        <f t="shared" si="32"/>
        <v>0.17246928313270063</v>
      </c>
      <c r="AX46">
        <f t="shared" si="33"/>
        <v>0.35269141932806652</v>
      </c>
      <c r="AY46" s="3">
        <f t="shared" si="13"/>
        <v>4.0718264732896317E-2</v>
      </c>
      <c r="AZ46">
        <f t="shared" si="14"/>
        <v>8.2690635924242539E-3</v>
      </c>
      <c r="BA46" s="11">
        <f t="shared" si="34"/>
        <v>3.6583732936684189E-2</v>
      </c>
    </row>
    <row r="47" spans="1:53" x14ac:dyDescent="0.2">
      <c r="H47" s="10">
        <f t="shared" si="35"/>
        <v>43</v>
      </c>
      <c r="I47">
        <f t="shared" si="15"/>
        <v>0</v>
      </c>
      <c r="J47">
        <f t="shared" si="16"/>
        <v>1E-4</v>
      </c>
      <c r="K47">
        <f t="shared" si="17"/>
        <v>-100</v>
      </c>
      <c r="L47" s="9">
        <f t="shared" si="0"/>
        <v>0.4267687533313323</v>
      </c>
      <c r="M47" s="11">
        <f t="shared" si="1"/>
        <v>0.4267687533313323</v>
      </c>
      <c r="N47" s="10">
        <f>SUMPRODUCT(I48:I$54, L48:L$54) / L47</f>
        <v>0</v>
      </c>
      <c r="O47" s="10">
        <f>SUMPRODUCT(J48:J$54, M48:M$54) / M47</f>
        <v>6.4719910693043108E-4</v>
      </c>
      <c r="P47" s="10">
        <f>SUMPRODUCT(K48:K$54, M48:M$54) / M47</f>
        <v>-647.19910693043107</v>
      </c>
      <c r="Q47" s="10" cm="1">
        <f t="array" ref="Q47">IF($H47 &gt;= $B$12 - 1, 0, SUMPRODUCT(I48:I$54*L48:L$54, $H48:$H$54 - $H47) / L47 /N47) / (1 + $B$10)</f>
        <v>0</v>
      </c>
      <c r="R47" s="10" cm="1">
        <f t="array" ref="R47">SUMPRODUCT(J48:J$54*L48:L$54, $H48:$H$54 - $H47) / L47 /O47 / (1 + $B$10)</f>
        <v>3.8439366312893708</v>
      </c>
      <c r="S47" s="10" cm="1">
        <f t="array" ref="S47">SUMPRODUCT(K48:K$54*M48:M$54, $H48:$H$54 - $H47) / M47 /P47 / (1 + $B$10)</f>
        <v>3.8439366312893708</v>
      </c>
      <c r="T47" s="10">
        <f t="shared" si="36"/>
        <v>-96.886509691267136</v>
      </c>
      <c r="U47" s="10">
        <f t="shared" si="37"/>
        <v>-196.88640969126715</v>
      </c>
      <c r="V47" s="10">
        <f t="shared" si="18"/>
        <v>-647.19845973132419</v>
      </c>
      <c r="W47">
        <f t="shared" si="42"/>
        <v>3093.7428942566785</v>
      </c>
      <c r="X47" s="10">
        <f t="shared" si="44"/>
        <v>2446.5444345253545</v>
      </c>
      <c r="Y47" s="10">
        <f t="shared" si="2"/>
        <v>0</v>
      </c>
      <c r="Z47">
        <f t="shared" si="3"/>
        <v>0</v>
      </c>
      <c r="AA47" s="10">
        <f t="shared" si="4"/>
        <v>0</v>
      </c>
      <c r="AB47" s="10">
        <f t="shared" si="5"/>
        <v>0</v>
      </c>
      <c r="AC47" s="10">
        <f t="shared" si="6"/>
        <v>1.3447526242527842E-4</v>
      </c>
      <c r="AD47" s="10">
        <f t="shared" si="7"/>
        <v>5.1272384450515263E-4</v>
      </c>
      <c r="AE47">
        <f t="shared" si="20"/>
        <v>-134.4752624252784</v>
      </c>
      <c r="AF47" s="10">
        <f t="shared" si="8"/>
        <v>-512.72384450515267</v>
      </c>
      <c r="AG47" s="10">
        <f t="shared" si="21"/>
        <v>-134.47512795001597</v>
      </c>
      <c r="AH47" s="10">
        <f t="shared" si="22"/>
        <v>-512.72333178130816</v>
      </c>
      <c r="AI47">
        <f t="shared" si="9"/>
        <v>1510.2126139045399</v>
      </c>
      <c r="AJ47">
        <f t="shared" si="10"/>
        <v>377.55315347613498</v>
      </c>
      <c r="AK47" s="10">
        <f t="shared" si="11"/>
        <v>558.77866714467962</v>
      </c>
      <c r="AL47" s="4">
        <f t="shared" si="23"/>
        <v>0.61728395061728403</v>
      </c>
      <c r="AM47">
        <f t="shared" si="12"/>
        <v>1510.2126139045399</v>
      </c>
      <c r="AN47" s="10">
        <f t="shared" si="45"/>
        <v>512.0282814261509</v>
      </c>
      <c r="AO47" s="10">
        <f t="shared" si="24"/>
        <v>1071.5019989259877</v>
      </c>
      <c r="AP47" s="10">
        <f t="shared" si="25"/>
        <v>1583.5302803521386</v>
      </c>
      <c r="AQ47" s="9">
        <f t="shared" si="26"/>
        <v>0.32334606276823974</v>
      </c>
      <c r="AR47" s="9">
        <f t="shared" si="27"/>
        <v>0.67665393723176026</v>
      </c>
      <c r="AS47">
        <f t="shared" si="39"/>
        <v>1510.2126139045399</v>
      </c>
      <c r="AT47">
        <f t="shared" si="40"/>
        <v>512.0282814261509</v>
      </c>
      <c r="AU47">
        <f t="shared" si="41"/>
        <v>1071.5019989259877</v>
      </c>
      <c r="AV47">
        <f t="shared" si="31"/>
        <v>0.48815065295443461</v>
      </c>
      <c r="AW47">
        <f t="shared" si="32"/>
        <v>0.16550447109767794</v>
      </c>
      <c r="AX47">
        <f t="shared" si="33"/>
        <v>0.34634487594788749</v>
      </c>
      <c r="AY47" s="3">
        <f t="shared" si="13"/>
        <v>4.1181070829154162E-2</v>
      </c>
      <c r="AZ47">
        <f t="shared" si="14"/>
        <v>8.60812239383448E-3</v>
      </c>
      <c r="BA47" s="11">
        <f t="shared" si="34"/>
        <v>3.6877009632236925E-2</v>
      </c>
    </row>
    <row r="48" spans="1:53" x14ac:dyDescent="0.2">
      <c r="H48" s="10">
        <f t="shared" si="35"/>
        <v>44</v>
      </c>
      <c r="I48">
        <f t="shared" si="15"/>
        <v>0</v>
      </c>
      <c r="J48">
        <f t="shared" si="16"/>
        <v>1E-4</v>
      </c>
      <c r="K48">
        <f t="shared" si="17"/>
        <v>-100</v>
      </c>
      <c r="L48" s="9">
        <f t="shared" si="0"/>
        <v>0.41840073856012966</v>
      </c>
      <c r="M48" s="11">
        <f t="shared" si="1"/>
        <v>0.41840073856012966</v>
      </c>
      <c r="N48" s="10">
        <f>SUMPRODUCT(I49:I$54, L49:L$54) / L48</f>
        <v>0</v>
      </c>
      <c r="O48" s="10">
        <f>SUMPRODUCT(J49:J$54, M49:M$54) / M48</f>
        <v>5.6014308906903983E-4</v>
      </c>
      <c r="P48" s="10">
        <f>SUMPRODUCT(K49:K$54, M49:M$54) / M48</f>
        <v>-560.14308906903977</v>
      </c>
      <c r="Q48" s="10" cm="1">
        <f t="array" ref="Q48">IF($H48 &gt;= $B$12 - 1, 0, SUMPRODUCT(I49:I$54*L49:L$54, $H49:$H$54 - $H48) / L48 /N48) / (1 + $B$10)</f>
        <v>0</v>
      </c>
      <c r="R48" s="10" cm="1">
        <f t="array" ref="R48">SUMPRODUCT(J49:J$54*L49:L$54, $H49:$H$54 - $H48) / L48 /O48 / (1 + $B$10)</f>
        <v>3.3747610778816193</v>
      </c>
      <c r="S48" s="10" cm="1">
        <f t="array" ref="S48">SUMPRODUCT(K49:K$54*M49:M$54, $H49:$H$54 - $H48) / M48 /P48 / (1 + $B$10)</f>
        <v>3.3747610778816197</v>
      </c>
      <c r="T48" s="10">
        <f t="shared" si="36"/>
        <v>-97.068915758714297</v>
      </c>
      <c r="U48" s="10">
        <f t="shared" si="37"/>
        <v>-197.06881575871429</v>
      </c>
      <c r="V48" s="10">
        <f t="shared" si="18"/>
        <v>-560.14252892595073</v>
      </c>
      <c r="W48">
        <f t="shared" si="42"/>
        <v>3010.7620650091321</v>
      </c>
      <c r="X48" s="10">
        <f t="shared" si="44"/>
        <v>2450.6195360831816</v>
      </c>
      <c r="Y48" s="10">
        <f t="shared" si="2"/>
        <v>0</v>
      </c>
      <c r="Z48">
        <f t="shared" si="3"/>
        <v>0</v>
      </c>
      <c r="AA48" s="10">
        <f t="shared" si="4"/>
        <v>0</v>
      </c>
      <c r="AB48" s="10">
        <f t="shared" si="5"/>
        <v>0</v>
      </c>
      <c r="AC48" s="10">
        <f t="shared" si="6"/>
        <v>1.0218103216403095E-4</v>
      </c>
      <c r="AD48" s="10">
        <f t="shared" si="7"/>
        <v>4.5796205690500888E-4</v>
      </c>
      <c r="AE48">
        <f t="shared" si="20"/>
        <v>-102.18103216403095</v>
      </c>
      <c r="AF48" s="10">
        <f t="shared" si="8"/>
        <v>-457.96205690500881</v>
      </c>
      <c r="AG48" s="10">
        <f t="shared" si="21"/>
        <v>-102.18092998299879</v>
      </c>
      <c r="AH48" s="10">
        <f t="shared" si="22"/>
        <v>-457.96159894295192</v>
      </c>
      <c r="AI48">
        <f t="shared" si="9"/>
        <v>1512.7281086933222</v>
      </c>
      <c r="AJ48">
        <f t="shared" si="10"/>
        <v>378.18202717333054</v>
      </c>
      <c r="AK48" s="10">
        <f t="shared" si="11"/>
        <v>559.70940021652893</v>
      </c>
      <c r="AL48" s="4">
        <f t="shared" si="23"/>
        <v>0.61728395061728403</v>
      </c>
      <c r="AM48">
        <f t="shared" si="12"/>
        <v>1512.7281086933222</v>
      </c>
      <c r="AN48" s="10">
        <f t="shared" si="45"/>
        <v>480.36295715632934</v>
      </c>
      <c r="AO48" s="10">
        <f t="shared" si="24"/>
        <v>1017.6709991594809</v>
      </c>
      <c r="AP48" s="10">
        <f t="shared" si="25"/>
        <v>1498.0339563158102</v>
      </c>
      <c r="AQ48" s="9">
        <f t="shared" si="26"/>
        <v>0.32066226211434484</v>
      </c>
      <c r="AR48" s="9">
        <f t="shared" si="27"/>
        <v>0.6793377378856551</v>
      </c>
      <c r="AS48">
        <f t="shared" si="39"/>
        <v>1512.7281086933222</v>
      </c>
      <c r="AT48">
        <f t="shared" si="40"/>
        <v>480.36295715632934</v>
      </c>
      <c r="AU48">
        <f t="shared" si="41"/>
        <v>1017.6709991594806</v>
      </c>
      <c r="AV48">
        <f t="shared" si="31"/>
        <v>0.50244027127687818</v>
      </c>
      <c r="AW48">
        <f t="shared" si="32"/>
        <v>0.15954862814935605</v>
      </c>
      <c r="AX48">
        <f t="shared" si="33"/>
        <v>0.33801110057376582</v>
      </c>
      <c r="AY48" s="3">
        <f t="shared" si="13"/>
        <v>4.1693097132568691E-2</v>
      </c>
      <c r="AZ48">
        <f t="shared" si="14"/>
        <v>9.0040245066220319E-3</v>
      </c>
      <c r="BA48" s="11">
        <f t="shared" si="34"/>
        <v>3.7191084879257673E-2</v>
      </c>
    </row>
    <row r="49" spans="8:53" x14ac:dyDescent="0.2">
      <c r="H49" s="10">
        <f t="shared" si="35"/>
        <v>45</v>
      </c>
      <c r="I49">
        <f t="shared" si="15"/>
        <v>0</v>
      </c>
      <c r="J49">
        <f t="shared" si="16"/>
        <v>1E-4</v>
      </c>
      <c r="K49">
        <f t="shared" si="17"/>
        <v>-100</v>
      </c>
      <c r="L49" s="9">
        <f t="shared" si="0"/>
        <v>0.41019680250993107</v>
      </c>
      <c r="M49" s="11">
        <f t="shared" si="1"/>
        <v>0.41019680250993107</v>
      </c>
      <c r="N49" s="10">
        <f>SUMPRODUCT(I50:I$54, L50:L$54) / L49</f>
        <v>0</v>
      </c>
      <c r="O49" s="10">
        <f>SUMPRODUCT(J50:J$54, M50:M$54) / M49</f>
        <v>4.7134595085042056E-4</v>
      </c>
      <c r="P49" s="10">
        <f>SUMPRODUCT(K50:K$54, M50:M$54) / M49</f>
        <v>-471.34595085042048</v>
      </c>
      <c r="Q49" s="10" cm="1">
        <f t="array" ref="Q49">IF($H49 &gt;= $B$12 - 1, 0, SUMPRODUCT(I50:I$54*L50:L$54, $H50:$H$54 - $H49) / L49 /N49) / (1 + $B$10)</f>
        <v>0</v>
      </c>
      <c r="R49" s="10" cm="1">
        <f t="array" ref="R49">SUMPRODUCT(J50:J$54*L50:L$54, $H50:$H$54 - $H49) / L49 /O49 / (1 + $B$10)</f>
        <v>2.9023543861955368</v>
      </c>
      <c r="S49" s="10" cm="1">
        <f t="array" ref="S49">SUMPRODUCT(K50:K$54*M50:M$54, $H50:$H$54 - $H49) / M49 /P49 / (1 + $B$10)</f>
        <v>2.9023543861955372</v>
      </c>
      <c r="T49" s="10">
        <f t="shared" si="36"/>
        <v>-97.230599186263277</v>
      </c>
      <c r="U49" s="10">
        <f t="shared" si="37"/>
        <v>-197.23049918626327</v>
      </c>
      <c r="V49" s="10">
        <f t="shared" si="18"/>
        <v>-471.34547950446961</v>
      </c>
      <c r="W49">
        <f t="shared" si="42"/>
        <v>2925.5050733338721</v>
      </c>
      <c r="X49" s="10">
        <f t="shared" si="44"/>
        <v>2454.1595938294026</v>
      </c>
      <c r="Y49" s="10">
        <f t="shared" si="2"/>
        <v>0</v>
      </c>
      <c r="Z49">
        <f t="shared" si="3"/>
        <v>0</v>
      </c>
      <c r="AA49" s="10">
        <f t="shared" si="4"/>
        <v>0</v>
      </c>
      <c r="AB49" s="10">
        <f t="shared" si="5"/>
        <v>0</v>
      </c>
      <c r="AC49" s="10">
        <f t="shared" si="6"/>
        <v>7.3946647992768872E-5</v>
      </c>
      <c r="AD49" s="10">
        <f t="shared" si="7"/>
        <v>3.9739930285765171E-4</v>
      </c>
      <c r="AE49">
        <f t="shared" si="20"/>
        <v>-73.94664799276886</v>
      </c>
      <c r="AF49" s="10">
        <f t="shared" si="8"/>
        <v>-397.39930285765161</v>
      </c>
      <c r="AG49" s="10">
        <f t="shared" si="21"/>
        <v>-73.946574046120872</v>
      </c>
      <c r="AH49" s="10">
        <f t="shared" si="22"/>
        <v>-397.39890545834874</v>
      </c>
      <c r="AI49">
        <f t="shared" si="9"/>
        <v>1514.9133295243228</v>
      </c>
      <c r="AJ49">
        <f t="shared" si="10"/>
        <v>378.72833238108069</v>
      </c>
      <c r="AK49" s="10">
        <f t="shared" si="11"/>
        <v>560.51793192399919</v>
      </c>
      <c r="AL49" s="4">
        <f t="shared" si="23"/>
        <v>0.61728395061728403</v>
      </c>
      <c r="AM49">
        <f t="shared" si="12"/>
        <v>1514.9133295243228</v>
      </c>
      <c r="AN49" s="10">
        <f t="shared" si="45"/>
        <v>452.67490642720156</v>
      </c>
      <c r="AO49" s="10">
        <f t="shared" si="24"/>
        <v>957.91683738234792</v>
      </c>
      <c r="AP49" s="10">
        <f t="shared" si="25"/>
        <v>1410.5917438095494</v>
      </c>
      <c r="AQ49" s="9">
        <f t="shared" si="26"/>
        <v>0.32091135398586262</v>
      </c>
      <c r="AR49" s="9">
        <f t="shared" si="27"/>
        <v>0.67908864601413743</v>
      </c>
      <c r="AS49">
        <f t="shared" si="39"/>
        <v>1514.9133295243228</v>
      </c>
      <c r="AT49">
        <f t="shared" si="40"/>
        <v>452.67490642720156</v>
      </c>
      <c r="AU49">
        <f t="shared" si="41"/>
        <v>957.91683738234781</v>
      </c>
      <c r="AV49">
        <f t="shared" si="31"/>
        <v>0.5178296709627459</v>
      </c>
      <c r="AW49">
        <f t="shared" si="32"/>
        <v>0.15473393314315412</v>
      </c>
      <c r="AX49">
        <f t="shared" si="33"/>
        <v>0.32743639589410001</v>
      </c>
      <c r="AY49" s="3">
        <f t="shared" si="13"/>
        <v>4.2260526169941373E-2</v>
      </c>
      <c r="AZ49">
        <f t="shared" si="14"/>
        <v>9.4637211255288785E-3</v>
      </c>
      <c r="BA49" s="11">
        <f t="shared" si="34"/>
        <v>3.7528665607176936E-2</v>
      </c>
    </row>
    <row r="50" spans="8:53" x14ac:dyDescent="0.2">
      <c r="H50" s="10">
        <f t="shared" si="35"/>
        <v>46</v>
      </c>
      <c r="I50">
        <f t="shared" si="15"/>
        <v>0</v>
      </c>
      <c r="J50">
        <f t="shared" si="16"/>
        <v>1E-4</v>
      </c>
      <c r="K50">
        <f t="shared" si="17"/>
        <v>-100</v>
      </c>
      <c r="L50" s="9">
        <f t="shared" si="0"/>
        <v>0.40215372795091275</v>
      </c>
      <c r="M50" s="11">
        <f t="shared" si="1"/>
        <v>0.40215372795091275</v>
      </c>
      <c r="N50" s="10">
        <f>SUMPRODUCT(I51:I$54, L51:L$54) / L50</f>
        <v>0</v>
      </c>
      <c r="O50" s="10">
        <f>SUMPRODUCT(J51:J$54, M51:M$54) / M50</f>
        <v>3.8077286986742899E-4</v>
      </c>
      <c r="P50" s="10">
        <f>SUMPRODUCT(K51:K$54, M51:M$54) / M50</f>
        <v>-380.77286986742899</v>
      </c>
      <c r="Q50" s="10" cm="1">
        <f t="array" ref="Q50">IF($H50 &gt;= $B$12 - 1, 0, SUMPRODUCT(I51:I$54*L51:L$54, $H51:$H$54 - $H50) / L50 /N50) / (1 + $B$10)</f>
        <v>0</v>
      </c>
      <c r="R50" s="10" cm="1">
        <f t="array" ref="R50">SUMPRODUCT(J51:J$54*L51:L$54, $H51:$H$54 - $H50) / L50 /O50 / (1 + $B$10)</f>
        <v>2.4267151624926435</v>
      </c>
      <c r="S50" s="10" cm="1">
        <f t="array" ref="S50">SUMPRODUCT(K51:K$54*M51:M$54, $H51:$H$54 - $H50) / M50 /P50 / (1 + $B$10)</f>
        <v>2.426715162492644</v>
      </c>
      <c r="T50" s="10">
        <f t="shared" si="36"/>
        <v>-97.371054255175835</v>
      </c>
      <c r="U50" s="10">
        <f t="shared" si="37"/>
        <v>-197.37095425517583</v>
      </c>
      <c r="V50" s="10">
        <f t="shared" si="18"/>
        <v>-380.77248909455915</v>
      </c>
      <c r="W50">
        <f t="shared" si="42"/>
        <v>2837.9244207079428</v>
      </c>
      <c r="X50" s="10">
        <f t="shared" si="44"/>
        <v>2457.1519316133836</v>
      </c>
      <c r="Y50" s="10">
        <f t="shared" si="2"/>
        <v>0</v>
      </c>
      <c r="Z50">
        <f t="shared" si="3"/>
        <v>0</v>
      </c>
      <c r="AA50" s="10">
        <f t="shared" si="4"/>
        <v>0</v>
      </c>
      <c r="AB50" s="10">
        <f t="shared" si="5"/>
        <v>0</v>
      </c>
      <c r="AC50" s="10">
        <f t="shared" si="6"/>
        <v>4.994742144719612E-5</v>
      </c>
      <c r="AD50" s="10">
        <f t="shared" si="7"/>
        <v>3.3082544842023289E-4</v>
      </c>
      <c r="AE50">
        <f t="shared" si="20"/>
        <v>-49.94742144719612</v>
      </c>
      <c r="AF50" s="10">
        <f t="shared" si="8"/>
        <v>-330.82544842023287</v>
      </c>
      <c r="AG50" s="10">
        <f t="shared" si="21"/>
        <v>-49.947371499774675</v>
      </c>
      <c r="AH50" s="10">
        <f t="shared" si="22"/>
        <v>-330.82511759478444</v>
      </c>
      <c r="AI50">
        <f t="shared" si="9"/>
        <v>1516.7604516131998</v>
      </c>
      <c r="AJ50">
        <f t="shared" si="10"/>
        <v>379.19011290329996</v>
      </c>
      <c r="AK50" s="10">
        <f t="shared" si="11"/>
        <v>561.20136709688381</v>
      </c>
      <c r="AL50" s="4">
        <f t="shared" si="23"/>
        <v>0.61728395061728403</v>
      </c>
      <c r="AM50">
        <f t="shared" si="12"/>
        <v>1516.7604516131998</v>
      </c>
      <c r="AN50" s="10">
        <f t="shared" si="45"/>
        <v>429.13748440307461</v>
      </c>
      <c r="AO50" s="10">
        <f t="shared" si="24"/>
        <v>892.0264846916682</v>
      </c>
      <c r="AP50" s="10">
        <f t="shared" si="25"/>
        <v>1321.1639690947427</v>
      </c>
      <c r="AQ50" s="9">
        <f t="shared" si="26"/>
        <v>0.3248177322736997</v>
      </c>
      <c r="AR50" s="9">
        <f t="shared" si="27"/>
        <v>0.67518226772630041</v>
      </c>
      <c r="AS50">
        <f t="shared" si="39"/>
        <v>1516.7604516131998</v>
      </c>
      <c r="AT50">
        <f t="shared" si="40"/>
        <v>429.13748440307461</v>
      </c>
      <c r="AU50">
        <f t="shared" si="41"/>
        <v>892.02648469166832</v>
      </c>
      <c r="AV50">
        <f t="shared" si="31"/>
        <v>0.53446118598000991</v>
      </c>
      <c r="AW50">
        <f t="shared" si="32"/>
        <v>0.15121526185536077</v>
      </c>
      <c r="AX50">
        <f t="shared" si="33"/>
        <v>0.31432355216462926</v>
      </c>
      <c r="AY50" s="3">
        <f t="shared" si="13"/>
        <v>4.2890600057754004E-2</v>
      </c>
      <c r="AZ50">
        <f t="shared" si="14"/>
        <v>9.9958799974834665E-3</v>
      </c>
      <c r="BA50" s="11">
        <f t="shared" si="34"/>
        <v>3.7892660059012269E-2</v>
      </c>
    </row>
    <row r="51" spans="8:53" x14ac:dyDescent="0.2">
      <c r="H51" s="10">
        <f t="shared" si="35"/>
        <v>47</v>
      </c>
      <c r="I51">
        <f t="shared" si="15"/>
        <v>0</v>
      </c>
      <c r="J51">
        <f t="shared" si="16"/>
        <v>1E-4</v>
      </c>
      <c r="K51">
        <f t="shared" si="17"/>
        <v>-100</v>
      </c>
      <c r="L51" s="9">
        <f t="shared" si="0"/>
        <v>0.39426836073618909</v>
      </c>
      <c r="M51" s="11">
        <f t="shared" si="1"/>
        <v>0.39426836073618909</v>
      </c>
      <c r="N51" s="10">
        <f>SUMPRODUCT(I52:I$54, L52:L$54) / L51</f>
        <v>0</v>
      </c>
      <c r="O51" s="10">
        <f>SUMPRODUCT(J52:J$54, M52:M$54) / M51</f>
        <v>2.8838832726477744E-4</v>
      </c>
      <c r="P51" s="10">
        <f>SUMPRODUCT(K52:K$54, M52:M$54) / M51</f>
        <v>-288.38832726477744</v>
      </c>
      <c r="Q51" s="10" cm="1">
        <f t="array" ref="Q51">IF($H51 &gt;= $B$12 - 1, 0, SUMPRODUCT(I52:I$54*L52:L$54, $H52:$H$54 - $H51) / L51 /N51) / (1 + $B$10)</f>
        <v>0</v>
      </c>
      <c r="R51" s="10" cm="1">
        <f t="array" ref="R51">SUMPRODUCT(J52:J$54*L52:L$54, $H52:$H$54 - $H51) / L51 /O51 / (1 + $B$10)</f>
        <v>1.9478422659091086</v>
      </c>
      <c r="S51" s="10" cm="1">
        <f t="array" ref="S51">SUMPRODUCT(K52:K$54*M52:M$54, $H52:$H$54 - $H51) / M51 /P51 / (1 + $B$10)</f>
        <v>1.9478422659091086</v>
      </c>
      <c r="T51" s="10">
        <f t="shared" si="36"/>
        <v>-97.489778027438419</v>
      </c>
      <c r="U51" s="10">
        <f t="shared" si="37"/>
        <v>-197.4896780274384</v>
      </c>
      <c r="V51" s="10">
        <f t="shared" si="18"/>
        <v>-288.3880388764502</v>
      </c>
      <c r="W51">
        <f t="shared" si="42"/>
        <v>2747.9712480275598</v>
      </c>
      <c r="X51" s="10">
        <f>V51 + W51</f>
        <v>2459.5832091511097</v>
      </c>
      <c r="Y51" s="10">
        <f t="shared" si="2"/>
        <v>0</v>
      </c>
      <c r="Z51">
        <f t="shared" si="3"/>
        <v>0</v>
      </c>
      <c r="AA51" s="10">
        <f t="shared" si="4"/>
        <v>0</v>
      </c>
      <c r="AB51" s="10">
        <f t="shared" si="5"/>
        <v>0</v>
      </c>
      <c r="AC51" s="10">
        <f t="shared" si="6"/>
        <v>3.0364052586008738E-5</v>
      </c>
      <c r="AD51" s="10">
        <f t="shared" si="7"/>
        <v>2.580242746787687E-4</v>
      </c>
      <c r="AE51">
        <f t="shared" si="20"/>
        <v>-30.364052586008739</v>
      </c>
      <c r="AF51" s="10">
        <f t="shared" si="8"/>
        <v>-258.02427467876873</v>
      </c>
      <c r="AG51" s="10">
        <f t="shared" si="21"/>
        <v>-30.364022221956155</v>
      </c>
      <c r="AH51" s="10">
        <f t="shared" si="22"/>
        <v>-258.02401665449406</v>
      </c>
      <c r="AI51">
        <f t="shared" si="9"/>
        <v>1518.2612402167347</v>
      </c>
      <c r="AJ51">
        <f t="shared" si="10"/>
        <v>379.56531005418367</v>
      </c>
      <c r="AK51" s="10">
        <f t="shared" si="11"/>
        <v>561.75665888019137</v>
      </c>
      <c r="AL51" s="4">
        <f t="shared" si="23"/>
        <v>0.61728395061728403</v>
      </c>
      <c r="AM51">
        <f t="shared" si="12"/>
        <v>1518.2612402167347</v>
      </c>
      <c r="AN51" s="10">
        <f t="shared" si="45"/>
        <v>409.9293322761398</v>
      </c>
      <c r="AO51" s="10">
        <f t="shared" si="24"/>
        <v>819.78067553468543</v>
      </c>
      <c r="AP51" s="10">
        <f t="shared" si="25"/>
        <v>1229.7100078108251</v>
      </c>
      <c r="AQ51" s="9">
        <f t="shared" si="26"/>
        <v>0.33335447355259884</v>
      </c>
      <c r="AR51" s="9">
        <f t="shared" si="27"/>
        <v>0.66664552644740127</v>
      </c>
      <c r="AS51">
        <f t="shared" si="39"/>
        <v>1518.2612402167347</v>
      </c>
      <c r="AT51">
        <f t="shared" si="40"/>
        <v>409.9293322761398</v>
      </c>
      <c r="AU51">
        <f t="shared" si="41"/>
        <v>819.78067553468532</v>
      </c>
      <c r="AV51">
        <f t="shared" si="31"/>
        <v>0.55250259306989224</v>
      </c>
      <c r="AW51">
        <f t="shared" si="32"/>
        <v>0.14917526250333918</v>
      </c>
      <c r="AX51">
        <f t="shared" si="33"/>
        <v>0.29832214442676863</v>
      </c>
      <c r="AY51" s="3">
        <f t="shared" si="13"/>
        <v>4.3591856347829083E-2</v>
      </c>
      <c r="AZ51">
        <f t="shared" si="14"/>
        <v>1.06114009270574E-2</v>
      </c>
      <c r="BA51" s="11">
        <f t="shared" si="34"/>
        <v>3.8286155884300385E-2</v>
      </c>
    </row>
    <row r="52" spans="8:53" x14ac:dyDescent="0.2">
      <c r="H52" s="10">
        <f t="shared" si="35"/>
        <v>48</v>
      </c>
      <c r="I52">
        <f t="shared" si="15"/>
        <v>0</v>
      </c>
      <c r="J52">
        <f t="shared" si="16"/>
        <v>1E-4</v>
      </c>
      <c r="K52">
        <f t="shared" si="17"/>
        <v>-100</v>
      </c>
      <c r="L52" s="9">
        <f t="shared" si="0"/>
        <v>0.38653760856489122</v>
      </c>
      <c r="M52" s="11">
        <f t="shared" si="1"/>
        <v>0.38653760856489122</v>
      </c>
      <c r="N52" s="10">
        <f>SUMPRODUCT(I53:I$54, L53:L$54) / L52</f>
        <v>0</v>
      </c>
      <c r="O52" s="10">
        <f>SUMPRODUCT(J53:J$54, M53:M$54) / M52</f>
        <v>1.9415609381007303E-4</v>
      </c>
      <c r="P52" s="10">
        <f>SUMPRODUCT(K53:K$54, M53:M$54) / M52</f>
        <v>-194.15609381007303</v>
      </c>
      <c r="Q52" s="10" cm="1">
        <f t="array" ref="Q52">IF($H52 &gt;= $B$12 - 1, 0, SUMPRODUCT(I53:I$54*L53:L$54, $H53:$H$54 - $H52) / L52 /N52) / (1 + $B$10)</f>
        <v>0</v>
      </c>
      <c r="R52" s="10" cm="1">
        <f t="array" ref="R52">SUMPRODUCT(J53:J$54*L53:L$54, $H53:$H$54 - $H52) / L52 /O52 / (1 + $B$10)</f>
        <v>1.4657348087749951</v>
      </c>
      <c r="S52" s="10" cm="1">
        <f t="array" ref="S52">SUMPRODUCT(K53:K$54*M53:M$54, $H53:$H$54 - $H52) / M52 /P52 / (1 + $B$10)</f>
        <v>1.4657348087749953</v>
      </c>
      <c r="T52" s="10">
        <f t="shared" si="36"/>
        <v>-97.58624121493061</v>
      </c>
      <c r="U52" s="10">
        <f t="shared" si="37"/>
        <v>-197.58614121493059</v>
      </c>
      <c r="V52" s="10">
        <f t="shared" si="18"/>
        <v>-194.15589965397922</v>
      </c>
      <c r="W52">
        <f t="shared" si="42"/>
        <v>2655.5943623801877</v>
      </c>
      <c r="X52" s="10">
        <f t="shared" si="44"/>
        <v>2461.4384627262084</v>
      </c>
      <c r="Y52" s="10">
        <f t="shared" si="2"/>
        <v>0</v>
      </c>
      <c r="Z52">
        <f t="shared" si="3"/>
        <v>0</v>
      </c>
      <c r="AA52" s="10">
        <f t="shared" si="4"/>
        <v>0</v>
      </c>
      <c r="AB52" s="10">
        <f t="shared" si="5"/>
        <v>0</v>
      </c>
      <c r="AC52" s="10">
        <f t="shared" si="6"/>
        <v>1.5382775407200403E-5</v>
      </c>
      <c r="AD52" s="10">
        <f t="shared" si="7"/>
        <v>1.7877331840287263E-4</v>
      </c>
      <c r="AE52">
        <f t="shared" si="20"/>
        <v>-15.382775407200402</v>
      </c>
      <c r="AF52" s="10">
        <f t="shared" si="8"/>
        <v>-178.77331840287263</v>
      </c>
      <c r="AG52" s="10">
        <f t="shared" si="21"/>
        <v>-15.382760024424995</v>
      </c>
      <c r="AH52" s="10">
        <f t="shared" si="22"/>
        <v>-178.77313962955424</v>
      </c>
      <c r="AI52">
        <f t="shared" si="9"/>
        <v>1519.4064584729683</v>
      </c>
      <c r="AJ52">
        <f t="shared" si="10"/>
        <v>379.85161461824208</v>
      </c>
      <c r="AK52" s="10">
        <f t="shared" si="11"/>
        <v>562.18038963499794</v>
      </c>
      <c r="AL52" s="4">
        <f t="shared" si="23"/>
        <v>0.61728395061728403</v>
      </c>
      <c r="AM52">
        <f t="shared" si="12"/>
        <v>1519.4064584729683</v>
      </c>
      <c r="AN52" s="10">
        <f t="shared" si="45"/>
        <v>395.23437464266709</v>
      </c>
      <c r="AO52" s="10">
        <f t="shared" si="24"/>
        <v>740.95352926455212</v>
      </c>
      <c r="AP52" s="10">
        <f t="shared" si="25"/>
        <v>1136.1879039072192</v>
      </c>
      <c r="AQ52" s="9">
        <f t="shared" si="26"/>
        <v>0.34786004434962003</v>
      </c>
      <c r="AR52" s="9">
        <f t="shared" si="27"/>
        <v>0.65213995565037997</v>
      </c>
      <c r="AS52">
        <f t="shared" si="39"/>
        <v>1519.4064584729683</v>
      </c>
      <c r="AT52">
        <f t="shared" si="40"/>
        <v>395.23437464266709</v>
      </c>
      <c r="AU52">
        <f t="shared" si="41"/>
        <v>740.95352926455234</v>
      </c>
      <c r="AV52">
        <f t="shared" si="31"/>
        <v>0.57215306674741417</v>
      </c>
      <c r="AW52">
        <f t="shared" si="32"/>
        <v>0.1488308531760934</v>
      </c>
      <c r="AX52">
        <f t="shared" si="33"/>
        <v>0.27901608007649242</v>
      </c>
      <c r="AY52" s="3">
        <f t="shared" si="13"/>
        <v>4.4374431201657502E-2</v>
      </c>
      <c r="AZ52">
        <f t="shared" si="14"/>
        <v>1.1324116050517273E-2</v>
      </c>
      <c r="BA52" s="11">
        <f t="shared" si="34"/>
        <v>3.8712373176398862E-2</v>
      </c>
    </row>
    <row r="53" spans="8:53" x14ac:dyDescent="0.2">
      <c r="H53" s="10">
        <f t="shared" si="35"/>
        <v>49</v>
      </c>
      <c r="I53">
        <f t="shared" si="15"/>
        <v>0</v>
      </c>
      <c r="J53">
        <f t="shared" si="16"/>
        <v>1E-4</v>
      </c>
      <c r="K53">
        <f t="shared" si="17"/>
        <v>-100</v>
      </c>
      <c r="L53" s="9">
        <f t="shared" si="0"/>
        <v>0.37895843976950117</v>
      </c>
      <c r="M53" s="11">
        <f t="shared" si="1"/>
        <v>0.37895843976950117</v>
      </c>
      <c r="N53" s="10">
        <f>SUMPRODUCT(I54:I$54, L54:L$54) / L53</f>
        <v>0</v>
      </c>
      <c r="O53" s="10">
        <f>SUMPRODUCT(J54:J$54, M54:M$54) / M53</f>
        <v>9.8039215686274519E-5</v>
      </c>
      <c r="P53" s="10">
        <f>SUMPRODUCT(K54:K$54, M54:M$54) / M53</f>
        <v>-98.039215686274517</v>
      </c>
      <c r="Q53" s="10" cm="1">
        <f t="array" ref="Q53">IF($H53 &gt;= $B$12 - 1, 0, SUMPRODUCT(I54:I$54*L54:L$54, $H54:$H$54 - $H53) / L53 /N53) / (1 + $B$10)</f>
        <v>0</v>
      </c>
      <c r="R53" s="10" cm="1">
        <f t="array" ref="R53">SUMPRODUCT(J54:J$54*L54:L$54, $H54:$H$54 - $H53) / L53 /O53 / (1 + $B$10)</f>
        <v>0.98039215686274506</v>
      </c>
      <c r="S53" s="10" cm="1">
        <f t="array" ref="S53">SUMPRODUCT(K54:K$54*M54:M$54, $H54:$H$54 - $H53) / M53 /P53 / (1 + $B$10)</f>
        <v>0.98039215686274506</v>
      </c>
      <c r="T53" s="10">
        <f t="shared" si="36"/>
        <v>-97.659850118350036</v>
      </c>
      <c r="U53" s="10">
        <f t="shared" si="37"/>
        <v>-197.65975011835002</v>
      </c>
      <c r="V53" s="10">
        <f t="shared" si="18"/>
        <v>-98.039117647058831</v>
      </c>
      <c r="W53">
        <f t="shared" si="42"/>
        <v>2560.7389722234407</v>
      </c>
      <c r="X53" s="10">
        <f t="shared" si="44"/>
        <v>2462.6998545763818</v>
      </c>
      <c r="Y53" s="10">
        <f t="shared" si="2"/>
        <v>0</v>
      </c>
      <c r="Z53">
        <f t="shared" si="3"/>
        <v>0</v>
      </c>
      <c r="AA53" s="10">
        <f t="shared" si="4"/>
        <v>0</v>
      </c>
      <c r="AB53" s="10">
        <f t="shared" si="5"/>
        <v>0</v>
      </c>
      <c r="AC53" s="10">
        <f t="shared" si="6"/>
        <v>5.195506925610732E-6</v>
      </c>
      <c r="AD53" s="10">
        <f t="shared" si="7"/>
        <v>9.2843708760663785E-5</v>
      </c>
      <c r="AE53">
        <f t="shared" si="20"/>
        <v>-5.195506925610732</v>
      </c>
      <c r="AF53" s="10">
        <f t="shared" si="8"/>
        <v>-92.843708760663787</v>
      </c>
      <c r="AG53" s="10">
        <f t="shared" si="21"/>
        <v>-5.195501730103806</v>
      </c>
      <c r="AH53" s="10">
        <f t="shared" si="22"/>
        <v>-92.843615916955031</v>
      </c>
      <c r="AI53">
        <f t="shared" si="9"/>
        <v>1520.1850954175197</v>
      </c>
      <c r="AJ53">
        <f t="shared" si="10"/>
        <v>380.04627385437993</v>
      </c>
      <c r="AK53" s="10">
        <f t="shared" si="11"/>
        <v>562.4684853044821</v>
      </c>
      <c r="AL53" s="4">
        <f t="shared" si="23"/>
        <v>0.61728395061728403</v>
      </c>
      <c r="AM53">
        <f t="shared" si="12"/>
        <v>1520.1850954175197</v>
      </c>
      <c r="AN53" s="10">
        <f t="shared" si="45"/>
        <v>385.24177558448372</v>
      </c>
      <c r="AO53" s="10">
        <f t="shared" si="24"/>
        <v>655.31210122143716</v>
      </c>
      <c r="AP53" s="10">
        <f t="shared" si="25"/>
        <v>1040.5538768059209</v>
      </c>
      <c r="AQ53" s="9">
        <f t="shared" si="26"/>
        <v>0.37022761067117443</v>
      </c>
      <c r="AR53" s="9">
        <f t="shared" si="27"/>
        <v>0.62977238932882551</v>
      </c>
      <c r="AS53">
        <f t="shared" si="39"/>
        <v>1520.1850954175197</v>
      </c>
      <c r="AT53">
        <f t="shared" si="40"/>
        <v>385.24177558448372</v>
      </c>
      <c r="AU53">
        <f t="shared" si="41"/>
        <v>655.31210122143716</v>
      </c>
      <c r="AV53">
        <f t="shared" si="31"/>
        <v>0.59365093900905175</v>
      </c>
      <c r="AW53">
        <f t="shared" si="32"/>
        <v>0.1504416419491541</v>
      </c>
      <c r="AX53">
        <f t="shared" si="33"/>
        <v>0.25590741904179409</v>
      </c>
      <c r="AY53" s="3">
        <f t="shared" si="13"/>
        <v>4.5250453979853611E-2</v>
      </c>
      <c r="AZ53">
        <f t="shared" si="14"/>
        <v>1.2151753650605437E-2</v>
      </c>
      <c r="BA53" s="11">
        <f t="shared" si="34"/>
        <v>3.9174577154550895E-2</v>
      </c>
    </row>
    <row r="54" spans="8:53" x14ac:dyDescent="0.2">
      <c r="H54" s="10">
        <f t="shared" si="35"/>
        <v>50</v>
      </c>
      <c r="I54">
        <f t="shared" si="15"/>
        <v>0</v>
      </c>
      <c r="J54">
        <f t="shared" si="16"/>
        <v>1E-4</v>
      </c>
      <c r="K54">
        <f t="shared" si="17"/>
        <v>-100</v>
      </c>
      <c r="L54" s="9">
        <f t="shared" si="0"/>
        <v>0.37152788212696192</v>
      </c>
      <c r="M54" s="11">
        <f t="shared" si="1"/>
        <v>0.37152788212696192</v>
      </c>
      <c r="N54" s="10">
        <f>SUMPRODUCT(I$54:I55, L$54:L55) / L54</f>
        <v>0</v>
      </c>
      <c r="O54" s="10">
        <f>SUMPRODUCT(J$54:J55, M$54:M55) / M54</f>
        <v>1E-4</v>
      </c>
      <c r="P54" s="10">
        <f>SUMPRODUCT(K$54:K55, M$54:M55) / M54</f>
        <v>-100</v>
      </c>
      <c r="Q54" s="10" cm="1">
        <f t="array" ref="Q54">IF($H54 &gt;= $B$12 - 1, 0, SUMPRODUCT(I$54:I55*L$54:L55, $H$54:$H55 - $H54) / L54 /N54) / (1 + $B$10)</f>
        <v>0</v>
      </c>
      <c r="R54" s="10" cm="1">
        <f t="array" ref="R54">SUMPRODUCT(J$54:J55*L$54:L55, $H$54:$H55 - $H54) / L54 /O54 / (1 + $B$10)</f>
        <v>0</v>
      </c>
      <c r="S54" s="10" cm="1">
        <f t="array" ref="S54">SUMPRODUCT(K$54:K55*M$54:M55, $H$54:$H55 - $H54) / M54 /P54 / (1 + $B$10)</f>
        <v>0</v>
      </c>
      <c r="T54" s="10">
        <f t="shared" si="36"/>
        <v>-97.709897007961075</v>
      </c>
      <c r="U54" s="10">
        <f t="shared" si="37"/>
        <v>-197.70979700796107</v>
      </c>
      <c r="V54" s="10">
        <f t="shared" si="18"/>
        <v>-99.999899999999997</v>
      </c>
      <c r="W54">
        <f t="shared" si="42"/>
        <v>2463.345041655512</v>
      </c>
      <c r="X54" s="10">
        <f t="shared" si="44"/>
        <v>2363.3451416555122</v>
      </c>
      <c r="Y54" s="10">
        <f t="shared" si="2"/>
        <v>0</v>
      </c>
      <c r="Z54">
        <f t="shared" si="3"/>
        <v>0</v>
      </c>
      <c r="AA54" s="10">
        <f t="shared" si="4"/>
        <v>0</v>
      </c>
      <c r="AB54" s="10">
        <f t="shared" si="5"/>
        <v>0</v>
      </c>
      <c r="AC54" s="10">
        <f t="shared" si="6"/>
        <v>0</v>
      </c>
      <c r="AD54" s="10">
        <f t="shared" si="7"/>
        <v>1E-4</v>
      </c>
      <c r="AE54">
        <f t="shared" si="20"/>
        <v>0</v>
      </c>
      <c r="AF54" s="10">
        <f t="shared" si="8"/>
        <v>-100</v>
      </c>
      <c r="AG54" s="10">
        <f t="shared" si="21"/>
        <v>0</v>
      </c>
      <c r="AH54" s="10">
        <f t="shared" si="22"/>
        <v>-99.999899999999997</v>
      </c>
      <c r="AI54">
        <f t="shared" si="9"/>
        <v>1458.8550257132792</v>
      </c>
      <c r="AJ54">
        <f t="shared" si="10"/>
        <v>364.71375642831981</v>
      </c>
      <c r="AK54" s="10">
        <f t="shared" si="11"/>
        <v>539.77635951391312</v>
      </c>
      <c r="AL54" s="4">
        <f t="shared" si="23"/>
        <v>0.61728395061728403</v>
      </c>
      <c r="AM54">
        <f t="shared" si="12"/>
        <v>1458.8550257132792</v>
      </c>
      <c r="AN54" s="10">
        <f t="shared" si="45"/>
        <v>364.71375642831981</v>
      </c>
      <c r="AO54" s="10">
        <f t="shared" si="24"/>
        <v>639.77625951391315</v>
      </c>
      <c r="AP54" s="10">
        <f t="shared" si="25"/>
        <v>1004.490015942233</v>
      </c>
      <c r="AQ54" s="9">
        <f t="shared" si="26"/>
        <v>0.36308350569936781</v>
      </c>
      <c r="AR54" s="9">
        <f t="shared" si="27"/>
        <v>0.63691649430063213</v>
      </c>
      <c r="AS54">
        <f t="shared" si="39"/>
        <v>1458.8550257132792</v>
      </c>
      <c r="AT54">
        <f t="shared" si="40"/>
        <v>364.71375642831981</v>
      </c>
      <c r="AU54">
        <f t="shared" si="41"/>
        <v>639.77625951391292</v>
      </c>
      <c r="AV54">
        <f t="shared" si="31"/>
        <v>0.59222520639367815</v>
      </c>
      <c r="AW54">
        <f t="shared" si="32"/>
        <v>0.14805630159841954</v>
      </c>
      <c r="AX54">
        <f t="shared" si="33"/>
        <v>0.25971849200790231</v>
      </c>
      <c r="AY54" s="3">
        <f t="shared" si="13"/>
        <v>4.5169571271731324E-2</v>
      </c>
      <c r="AZ54">
        <f t="shared" si="14"/>
        <v>1.2073904178405592E-2</v>
      </c>
      <c r="BA54" s="11">
        <f t="shared" si="34"/>
        <v>3.9132619182528527E-2</v>
      </c>
    </row>
    <row r="55" spans="8:53" x14ac:dyDescent="0.2">
      <c r="H55" s="9"/>
    </row>
    <row r="56" spans="8:53" x14ac:dyDescent="0.2">
      <c r="H5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Consultant Baseline</vt:lpstr>
      <vt:lpstr>Mortgage</vt:lpstr>
      <vt:lpstr>IBD</vt:lpstr>
      <vt:lpstr>Discretionary Spending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Wang</dc:creator>
  <cp:lastModifiedBy>Lulu Wang</cp:lastModifiedBy>
  <dcterms:created xsi:type="dcterms:W3CDTF">2025-02-04T19:46:46Z</dcterms:created>
  <dcterms:modified xsi:type="dcterms:W3CDTF">2026-01-24T23:16:01Z</dcterms:modified>
</cp:coreProperties>
</file>